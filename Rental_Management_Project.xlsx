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RAVINDHAN\Desktop\PROJECTS\"/>
    </mc:Choice>
  </mc:AlternateContent>
  <xr:revisionPtr revIDLastSave="0" documentId="13_ncr:1_{93DD7E2D-4BC8-44A4-AD35-9B5ECD1CBABF}" xr6:coauthVersionLast="47" xr6:coauthVersionMax="47" xr10:uidLastSave="{00000000-0000-0000-0000-000000000000}"/>
  <bookViews>
    <workbookView xWindow="-108" yWindow="-108" windowWidth="23256" windowHeight="12456" xr2:uid="{00000000-000D-0000-FFFF-FFFF00000000}"/>
  </bookViews>
  <sheets>
    <sheet name="Dashboard" sheetId="7" r:id="rId1"/>
    <sheet name="Pivot data" sheetId="6" r:id="rId2"/>
    <sheet name="Properties" sheetId="1" r:id="rId3"/>
    <sheet name="Tenants" sheetId="2" r:id="rId4"/>
  </sheets>
  <definedNames>
    <definedName name="Slicer_City">#N/A</definedName>
    <definedName name="Slicer_MONTH">#N/A</definedName>
    <definedName name="Slicer_Payment_Mode">#N/A</definedName>
    <definedName name="Slicer_Payment_Status">#N/A</definedName>
    <definedName name="Slicer_Property_Typ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N8" i="1" l="1"/>
  <c r="N5" i="1"/>
  <c r="N2" i="1"/>
  <c r="N5" i="2"/>
  <c r="N2"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alcChain>
</file>

<file path=xl/sharedStrings.xml><?xml version="1.0" encoding="utf-8"?>
<sst xmlns="http://schemas.openxmlformats.org/spreadsheetml/2006/main" count="3822" uniqueCount="1107">
  <si>
    <t>Property_ID</t>
  </si>
  <si>
    <t>Property_Name</t>
  </si>
  <si>
    <t>Property_Type</t>
  </si>
  <si>
    <t>City</t>
  </si>
  <si>
    <t>Furnished_Status</t>
  </si>
  <si>
    <t>Expected_Rent</t>
  </si>
  <si>
    <t>Security_Deposit</t>
  </si>
  <si>
    <t>Maintenance_Charge</t>
  </si>
  <si>
    <t>Property_Status</t>
  </si>
  <si>
    <t>Purchase_Date</t>
  </si>
  <si>
    <t>P001</t>
  </si>
  <si>
    <t>House</t>
  </si>
  <si>
    <t>Mumbai</t>
  </si>
  <si>
    <t>Unfurnished</t>
  </si>
  <si>
    <t>Available</t>
  </si>
  <si>
    <t>P002</t>
  </si>
  <si>
    <t>Flat</t>
  </si>
  <si>
    <t>Pune</t>
  </si>
  <si>
    <t>Rented</t>
  </si>
  <si>
    <t>P003</t>
  </si>
  <si>
    <t>Shop</t>
  </si>
  <si>
    <t>Hyderabad</t>
  </si>
  <si>
    <t>P004</t>
  </si>
  <si>
    <t>Semi</t>
  </si>
  <si>
    <t>P005</t>
  </si>
  <si>
    <t>Furnished</t>
  </si>
  <si>
    <t>P006</t>
  </si>
  <si>
    <t>Bangalore</t>
  </si>
  <si>
    <t>P007</t>
  </si>
  <si>
    <t>P008</t>
  </si>
  <si>
    <t>P009</t>
  </si>
  <si>
    <t>P010</t>
  </si>
  <si>
    <t>P011</t>
  </si>
  <si>
    <t>P012</t>
  </si>
  <si>
    <t>Chennai</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</si>
  <si>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</si>
  <si>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</si>
  <si>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</si>
  <si>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</si>
  <si>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</si>
  <si>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</si>
  <si>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</si>
  <si>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</si>
  <si>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</si>
  <si>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</si>
  <si>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</si>
  <si>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</si>
  <si>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</si>
  <si>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</si>
  <si>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</si>
  <si>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</si>
  <si>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</si>
  <si>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</si>
  <si>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</si>
  <si>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</si>
  <si>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</si>
  <si>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</si>
  <si>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</si>
  <si>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</si>
  <si>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</si>
  <si>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</si>
  <si>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</si>
  <si>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</si>
  <si>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</si>
  <si>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</si>
  <si>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</si>
  <si>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</si>
  <si>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</si>
  <si>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</si>
  <si>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</si>
  <si>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</si>
  <si>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</si>
  <si>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</si>
  <si>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</si>
  <si>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</si>
  <si>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</si>
  <si>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</si>
  <si>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</si>
  <si>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</si>
  <si>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</si>
  <si>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</si>
  <si>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</si>
  <si>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</si>
  <si>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</si>
  <si>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</si>
  <si>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</si>
  <si>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</si>
  <si>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</si>
  <si>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</si>
  <si>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</si>
  <si>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</si>
  <si>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</si>
  <si>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</si>
  <si>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</si>
  <si>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</si>
  <si>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</si>
  <si>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</si>
  <si>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</si>
  <si>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</si>
  <si>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</si>
  <si>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</si>
  <si>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</si>
  <si>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</si>
  <si>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</si>
  <si>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</si>
  <si>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</si>
  <si>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</si>
  <si>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</si>
  <si>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</si>
  <si>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</si>
  <si>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</si>
  <si>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</si>
  <si>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</si>
  <si>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</si>
  <si>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</si>
  <si>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</si>
  <si>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</si>
  <si>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</si>
  <si>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</si>
  <si>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</si>
  <si>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</si>
  <si>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</si>
  <si>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</si>
  <si>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</si>
  <si>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</si>
  <si>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</si>
  <si>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</si>
  <si>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</si>
  <si>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</si>
  <si>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</si>
  <si>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</si>
  <si>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</si>
  <si>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</si>
  <si>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</si>
  <si>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</si>
  <si>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</si>
  <si>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</si>
  <si>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</si>
  <si>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</si>
  <si>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</si>
  <si>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</si>
  <si>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</si>
  <si>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</si>
  <si>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</si>
  <si>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</si>
  <si>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</si>
  <si>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</si>
  <si>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</si>
  <si>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</si>
  <si>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</si>
  <si>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</si>
  <si>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</si>
  <si>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</si>
  <si>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</si>
  <si>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</si>
  <si>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</si>
  <si>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</si>
  <si>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</si>
  <si>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</si>
  <si>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</si>
  <si>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</si>
  <si>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</si>
  <si>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</si>
  <si>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</si>
  <si>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</si>
  <si>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</si>
  <si>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</si>
  <si>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</si>
  <si>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</si>
  <si>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</si>
  <si>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</si>
  <si>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</si>
  <si>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</si>
  <si>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</si>
  <si>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</si>
  <si>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</si>
  <si>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</si>
  <si>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</si>
  <si>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</si>
  <si>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</si>
  <si>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</si>
  <si>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</si>
  <si>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</si>
  <si>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</si>
  <si>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</si>
  <si>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</si>
  <si>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</si>
  <si>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</si>
  <si>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</si>
  <si>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</si>
  <si>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</si>
  <si>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</si>
  <si>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</si>
  <si>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</si>
  <si>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</si>
  <si>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</si>
  <si>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</si>
  <si>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</si>
  <si>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</si>
  <si>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</si>
  <si>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</si>
  <si>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</si>
  <si>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</si>
  <si>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</si>
  <si>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</si>
  <si>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</si>
  <si>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</si>
  <si>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</si>
  <si>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</si>
  <si>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</si>
  <si>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</si>
  <si>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</si>
  <si>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</si>
  <si>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</si>
  <si>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</si>
  <si>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</si>
  <si>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</si>
  <si>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</si>
  <si>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</si>
  <si>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</si>
  <si>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</si>
  <si>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</si>
  <si>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</si>
  <si>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</si>
  <si>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</si>
  <si>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</si>
  <si>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</si>
  <si>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</si>
  <si>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</si>
  <si>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</si>
  <si>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</si>
  <si>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</si>
  <si>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</si>
  <si>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</si>
  <si>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</si>
  <si>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</si>
  <si>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</si>
  <si>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</si>
  <si>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</si>
  <si>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</si>
  <si>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</si>
  <si>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</si>
  <si>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</si>
  <si>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</si>
  <si>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</si>
  <si>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</si>
  <si>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</si>
  <si>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</si>
  <si>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</si>
  <si>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</si>
  <si>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</si>
  <si>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</si>
  <si>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</si>
  <si>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</si>
  <si>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</si>
  <si>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</si>
  <si>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</si>
  <si>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</si>
  <si>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</si>
  <si>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</si>
  <si>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</si>
  <si>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</si>
  <si>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</si>
  <si>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</si>
  <si>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</si>
  <si>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</si>
  <si>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</si>
  <si>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</si>
  <si>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</si>
  <si>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</si>
  <si>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</si>
  <si>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</si>
  <si>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</si>
  <si>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Tenant_ID</t>
  </si>
  <si>
    <t>Tenant_Name</t>
  </si>
  <si>
    <t>Phone</t>
  </si>
  <si>
    <t>Occupation</t>
  </si>
  <si>
    <t>Family_Members</t>
  </si>
  <si>
    <t>Tenant_Status</t>
  </si>
  <si>
    <t>T001</t>
  </si>
  <si>
    <t>Tenant_1</t>
  </si>
  <si>
    <t>9862048789</t>
  </si>
  <si>
    <t>Student</t>
  </si>
  <si>
    <t>Active</t>
  </si>
  <si>
    <t>T002</t>
  </si>
  <si>
    <t>Tenant_2</t>
  </si>
  <si>
    <t>9854864973</t>
  </si>
  <si>
    <t>IT</t>
  </si>
  <si>
    <t>T003</t>
  </si>
  <si>
    <t>Tenant_3</t>
  </si>
  <si>
    <t>9366524270</t>
  </si>
  <si>
    <t>Business</t>
  </si>
  <si>
    <t>Vacated</t>
  </si>
  <si>
    <t>T004</t>
  </si>
  <si>
    <t>Tenant_4</t>
  </si>
  <si>
    <t>9742052773</t>
  </si>
  <si>
    <t>T005</t>
  </si>
  <si>
    <t>Tenant_5</t>
  </si>
  <si>
    <t>9882367068</t>
  </si>
  <si>
    <t>T006</t>
  </si>
  <si>
    <t>Tenant_6</t>
  </si>
  <si>
    <t>9759413977</t>
  </si>
  <si>
    <t>T007</t>
  </si>
  <si>
    <t>Tenant_7</t>
  </si>
  <si>
    <t>9522260663</t>
  </si>
  <si>
    <t>HR</t>
  </si>
  <si>
    <t>T008</t>
  </si>
  <si>
    <t>Tenant_8</t>
  </si>
  <si>
    <t>9414613903</t>
  </si>
  <si>
    <t>T009</t>
  </si>
  <si>
    <t>Tenant_9</t>
  </si>
  <si>
    <t>9703690296</t>
  </si>
  <si>
    <t>T010</t>
  </si>
  <si>
    <t>Tenant_10</t>
  </si>
  <si>
    <t>9196236000</t>
  </si>
  <si>
    <t>T011</t>
  </si>
  <si>
    <t>Tenant_11</t>
  </si>
  <si>
    <t>9955194197</t>
  </si>
  <si>
    <t>T012</t>
  </si>
  <si>
    <t>Tenant_12</t>
  </si>
  <si>
    <t>9511335671</t>
  </si>
  <si>
    <t>T013</t>
  </si>
  <si>
    <t>Tenant_13</t>
  </si>
  <si>
    <t>9116422788</t>
  </si>
  <si>
    <t>T014</t>
  </si>
  <si>
    <t>Tenant_14</t>
  </si>
  <si>
    <t>9616736928</t>
  </si>
  <si>
    <t>T015</t>
  </si>
  <si>
    <t>Tenant_15</t>
  </si>
  <si>
    <t>9918044144</t>
  </si>
  <si>
    <t>T016</t>
  </si>
  <si>
    <t>Tenant_16</t>
  </si>
  <si>
    <t>9300012891</t>
  </si>
  <si>
    <t>Doctor</t>
  </si>
  <si>
    <t>T017</t>
  </si>
  <si>
    <t>Tenant_17</t>
  </si>
  <si>
    <t>9374063369</t>
  </si>
  <si>
    <t>T018</t>
  </si>
  <si>
    <t>Tenant_18</t>
  </si>
  <si>
    <t>9962845146</t>
  </si>
  <si>
    <t>T019</t>
  </si>
  <si>
    <t>Tenant_19</t>
  </si>
  <si>
    <t>9317304652</t>
  </si>
  <si>
    <t>T020</t>
  </si>
  <si>
    <t>Tenant_20</t>
  </si>
  <si>
    <t>9771323368</t>
  </si>
  <si>
    <t>T021</t>
  </si>
  <si>
    <t>Tenant_21</t>
  </si>
  <si>
    <t>9405056799</t>
  </si>
  <si>
    <t>T022</t>
  </si>
  <si>
    <t>Tenant_22</t>
  </si>
  <si>
    <t>9495251503</t>
  </si>
  <si>
    <t>T023</t>
  </si>
  <si>
    <t>Tenant_23</t>
  </si>
  <si>
    <t>9964718575</t>
  </si>
  <si>
    <t>T024</t>
  </si>
  <si>
    <t>Tenant_24</t>
  </si>
  <si>
    <t>9365269390</t>
  </si>
  <si>
    <t>T025</t>
  </si>
  <si>
    <t>Tenant_25</t>
  </si>
  <si>
    <t>9114597428</t>
  </si>
  <si>
    <t>T026</t>
  </si>
  <si>
    <t>Tenant_26</t>
  </si>
  <si>
    <t>9886749691</t>
  </si>
  <si>
    <t>T027</t>
  </si>
  <si>
    <t>Tenant_27</t>
  </si>
  <si>
    <t>9431905929</t>
  </si>
  <si>
    <t>T028</t>
  </si>
  <si>
    <t>Tenant_28</t>
  </si>
  <si>
    <t>9315816895</t>
  </si>
  <si>
    <t>T029</t>
  </si>
  <si>
    <t>Tenant_29</t>
  </si>
  <si>
    <t>9131598803</t>
  </si>
  <si>
    <t>T030</t>
  </si>
  <si>
    <t>Tenant_30</t>
  </si>
  <si>
    <t>9765674384</t>
  </si>
  <si>
    <t>T031</t>
  </si>
  <si>
    <t>Tenant_31</t>
  </si>
  <si>
    <t>9197993166</t>
  </si>
  <si>
    <t>T032</t>
  </si>
  <si>
    <t>Tenant_32</t>
  </si>
  <si>
    <t>9587238808</t>
  </si>
  <si>
    <t>T033</t>
  </si>
  <si>
    <t>Tenant_33</t>
  </si>
  <si>
    <t>9450339605</t>
  </si>
  <si>
    <t>T034</t>
  </si>
  <si>
    <t>Tenant_34</t>
  </si>
  <si>
    <t>9831358513</t>
  </si>
  <si>
    <t>T035</t>
  </si>
  <si>
    <t>Tenant_35</t>
  </si>
  <si>
    <t>9266594938</t>
  </si>
  <si>
    <t>T036</t>
  </si>
  <si>
    <t>Tenant_36</t>
  </si>
  <si>
    <t>9518646980</t>
  </si>
  <si>
    <t>T037</t>
  </si>
  <si>
    <t>Tenant_37</t>
  </si>
  <si>
    <t>9960685473</t>
  </si>
  <si>
    <t>T038</t>
  </si>
  <si>
    <t>Tenant_38</t>
  </si>
  <si>
    <t>9649571524</t>
  </si>
  <si>
    <t>T039</t>
  </si>
  <si>
    <t>Tenant_39</t>
  </si>
  <si>
    <t>9451420669</t>
  </si>
  <si>
    <t>T040</t>
  </si>
  <si>
    <t>Tenant_40</t>
  </si>
  <si>
    <t>9996663908</t>
  </si>
  <si>
    <t>T041</t>
  </si>
  <si>
    <t>Tenant_41</t>
  </si>
  <si>
    <t>9678239207</t>
  </si>
  <si>
    <t>T042</t>
  </si>
  <si>
    <t>Tenant_42</t>
  </si>
  <si>
    <t>9665352124</t>
  </si>
  <si>
    <t>T043</t>
  </si>
  <si>
    <t>Tenant_43</t>
  </si>
  <si>
    <t>9709842310</t>
  </si>
  <si>
    <t>T044</t>
  </si>
  <si>
    <t>Tenant_44</t>
  </si>
  <si>
    <t>9972345468</t>
  </si>
  <si>
    <t>T045</t>
  </si>
  <si>
    <t>Tenant_45</t>
  </si>
  <si>
    <t>9806113952</t>
  </si>
  <si>
    <t>T046</t>
  </si>
  <si>
    <t>Tenant_46</t>
  </si>
  <si>
    <t>9174571103</t>
  </si>
  <si>
    <t>T047</t>
  </si>
  <si>
    <t>Tenant_47</t>
  </si>
  <si>
    <t>9408831612</t>
  </si>
  <si>
    <t>T048</t>
  </si>
  <si>
    <t>Tenant_48</t>
  </si>
  <si>
    <t>9403338626</t>
  </si>
  <si>
    <t>T049</t>
  </si>
  <si>
    <t>Tenant_49</t>
  </si>
  <si>
    <t>9391517528</t>
  </si>
  <si>
    <t>T050</t>
  </si>
  <si>
    <t>Tenant_50</t>
  </si>
  <si>
    <t>9190200452</t>
  </si>
  <si>
    <t>T051</t>
  </si>
  <si>
    <t>Tenant_51</t>
  </si>
  <si>
    <t>9698597882</t>
  </si>
  <si>
    <t>T052</t>
  </si>
  <si>
    <t>Tenant_52</t>
  </si>
  <si>
    <t>9722363774</t>
  </si>
  <si>
    <t>T053</t>
  </si>
  <si>
    <t>Tenant_53</t>
  </si>
  <si>
    <t>9106132086</t>
  </si>
  <si>
    <t>T054</t>
  </si>
  <si>
    <t>Tenant_54</t>
  </si>
  <si>
    <t>9405692495</t>
  </si>
  <si>
    <t>T055</t>
  </si>
  <si>
    <t>Tenant_55</t>
  </si>
  <si>
    <t>9633039447</t>
  </si>
  <si>
    <t>T056</t>
  </si>
  <si>
    <t>Tenant_56</t>
  </si>
  <si>
    <t>9200393614</t>
  </si>
  <si>
    <t>T057</t>
  </si>
  <si>
    <t>Tenant_57</t>
  </si>
  <si>
    <t>9124781800</t>
  </si>
  <si>
    <t>T058</t>
  </si>
  <si>
    <t>Tenant_58</t>
  </si>
  <si>
    <t>9339316654</t>
  </si>
  <si>
    <t>T059</t>
  </si>
  <si>
    <t>Tenant_59</t>
  </si>
  <si>
    <t>9250145100</t>
  </si>
  <si>
    <t>T060</t>
  </si>
  <si>
    <t>Tenant_60</t>
  </si>
  <si>
    <t>9152717798</t>
  </si>
  <si>
    <t>T061</t>
  </si>
  <si>
    <t>Tenant_61</t>
  </si>
  <si>
    <t>9712522529</t>
  </si>
  <si>
    <t>T062</t>
  </si>
  <si>
    <t>Tenant_62</t>
  </si>
  <si>
    <t>9951753062</t>
  </si>
  <si>
    <t>T063</t>
  </si>
  <si>
    <t>Tenant_63</t>
  </si>
  <si>
    <t>9249956407</t>
  </si>
  <si>
    <t>T064</t>
  </si>
  <si>
    <t>Tenant_64</t>
  </si>
  <si>
    <t>9895027859</t>
  </si>
  <si>
    <t>T065</t>
  </si>
  <si>
    <t>Tenant_65</t>
  </si>
  <si>
    <t>9502980762</t>
  </si>
  <si>
    <t>T066</t>
  </si>
  <si>
    <t>Tenant_66</t>
  </si>
  <si>
    <t>9822001488</t>
  </si>
  <si>
    <t>T067</t>
  </si>
  <si>
    <t>Tenant_67</t>
  </si>
  <si>
    <t>9129590205</t>
  </si>
  <si>
    <t>T068</t>
  </si>
  <si>
    <t>Tenant_68</t>
  </si>
  <si>
    <t>9584489341</t>
  </si>
  <si>
    <t>T069</t>
  </si>
  <si>
    <t>Tenant_69</t>
  </si>
  <si>
    <t>9161000202</t>
  </si>
  <si>
    <t>T070</t>
  </si>
  <si>
    <t>Tenant_70</t>
  </si>
  <si>
    <t>9909272147</t>
  </si>
  <si>
    <t>T071</t>
  </si>
  <si>
    <t>Tenant_71</t>
  </si>
  <si>
    <t>9627735449</t>
  </si>
  <si>
    <t>T072</t>
  </si>
  <si>
    <t>Tenant_72</t>
  </si>
  <si>
    <t>9830418465</t>
  </si>
  <si>
    <t>T073</t>
  </si>
  <si>
    <t>Tenant_73</t>
  </si>
  <si>
    <t>9772298385</t>
  </si>
  <si>
    <t>T074</t>
  </si>
  <si>
    <t>Tenant_74</t>
  </si>
  <si>
    <t>9212906866</t>
  </si>
  <si>
    <t>T075</t>
  </si>
  <si>
    <t>Tenant_75</t>
  </si>
  <si>
    <t>9106853169</t>
  </si>
  <si>
    <t>T076</t>
  </si>
  <si>
    <t>Tenant_76</t>
  </si>
  <si>
    <t>9190789696</t>
  </si>
  <si>
    <t>T077</t>
  </si>
  <si>
    <t>Tenant_77</t>
  </si>
  <si>
    <t>9624925635</t>
  </si>
  <si>
    <t>T078</t>
  </si>
  <si>
    <t>Tenant_78</t>
  </si>
  <si>
    <t>9502197969</t>
  </si>
  <si>
    <t>T079</t>
  </si>
  <si>
    <t>Tenant_79</t>
  </si>
  <si>
    <t>9673292050</t>
  </si>
  <si>
    <t>T080</t>
  </si>
  <si>
    <t>Tenant_80</t>
  </si>
  <si>
    <t>9748807055</t>
  </si>
  <si>
    <t>T081</t>
  </si>
  <si>
    <t>Tenant_81</t>
  </si>
  <si>
    <t>9445703009</t>
  </si>
  <si>
    <t>T082</t>
  </si>
  <si>
    <t>Tenant_82</t>
  </si>
  <si>
    <t>9811807735</t>
  </si>
  <si>
    <t>T083</t>
  </si>
  <si>
    <t>Tenant_83</t>
  </si>
  <si>
    <t>9293137556</t>
  </si>
  <si>
    <t>T084</t>
  </si>
  <si>
    <t>Tenant_84</t>
  </si>
  <si>
    <t>9674260161</t>
  </si>
  <si>
    <t>T085</t>
  </si>
  <si>
    <t>Tenant_85</t>
  </si>
  <si>
    <t>9816555121</t>
  </si>
  <si>
    <t>T086</t>
  </si>
  <si>
    <t>Tenant_86</t>
  </si>
  <si>
    <t>9917693032</t>
  </si>
  <si>
    <t>T087</t>
  </si>
  <si>
    <t>Tenant_87</t>
  </si>
  <si>
    <t>9197836875</t>
  </si>
  <si>
    <t>T088</t>
  </si>
  <si>
    <t>Tenant_88</t>
  </si>
  <si>
    <t>9627071799</t>
  </si>
  <si>
    <t>T089</t>
  </si>
  <si>
    <t>Tenant_89</t>
  </si>
  <si>
    <t>9534668812</t>
  </si>
  <si>
    <t>T090</t>
  </si>
  <si>
    <t>Tenant_90</t>
  </si>
  <si>
    <t>9113319591</t>
  </si>
  <si>
    <t>T091</t>
  </si>
  <si>
    <t>Tenant_91</t>
  </si>
  <si>
    <t>9881303986</t>
  </si>
  <si>
    <t>T092</t>
  </si>
  <si>
    <t>Tenant_92</t>
  </si>
  <si>
    <t>9688715322</t>
  </si>
  <si>
    <t>T093</t>
  </si>
  <si>
    <t>Tenant_93</t>
  </si>
  <si>
    <t>9200333955</t>
  </si>
  <si>
    <t>T094</t>
  </si>
  <si>
    <t>Tenant_94</t>
  </si>
  <si>
    <t>9527088696</t>
  </si>
  <si>
    <t>T095</t>
  </si>
  <si>
    <t>Tenant_95</t>
  </si>
  <si>
    <t>9796280511</t>
  </si>
  <si>
    <t>T096</t>
  </si>
  <si>
    <t>Tenant_96</t>
  </si>
  <si>
    <t>9412476753</t>
  </si>
  <si>
    <t>T097</t>
  </si>
  <si>
    <t>Tenant_97</t>
  </si>
  <si>
    <t>9682318561</t>
  </si>
  <si>
    <t>T098</t>
  </si>
  <si>
    <t>Tenant_98</t>
  </si>
  <si>
    <t>9176966982</t>
  </si>
  <si>
    <t>T099</t>
  </si>
  <si>
    <t>Tenant_99</t>
  </si>
  <si>
    <t>9900789791</t>
  </si>
  <si>
    <t>T100</t>
  </si>
  <si>
    <t>Tenant_100</t>
  </si>
  <si>
    <t>9669665068</t>
  </si>
  <si>
    <t>T101</t>
  </si>
  <si>
    <t>Tenant_101</t>
  </si>
  <si>
    <t>9431728311</t>
  </si>
  <si>
    <t>T102</t>
  </si>
  <si>
    <t>Tenant_102</t>
  </si>
  <si>
    <t>9802861382</t>
  </si>
  <si>
    <t>T103</t>
  </si>
  <si>
    <t>Tenant_103</t>
  </si>
  <si>
    <t>9914787822</t>
  </si>
  <si>
    <t>T104</t>
  </si>
  <si>
    <t>Tenant_104</t>
  </si>
  <si>
    <t>9767033307</t>
  </si>
  <si>
    <t>T105</t>
  </si>
  <si>
    <t>Tenant_105</t>
  </si>
  <si>
    <t>9948894510</t>
  </si>
  <si>
    <t>T106</t>
  </si>
  <si>
    <t>Tenant_106</t>
  </si>
  <si>
    <t>9608763847</t>
  </si>
  <si>
    <t>T107</t>
  </si>
  <si>
    <t>Tenant_107</t>
  </si>
  <si>
    <t>9281663933</t>
  </si>
  <si>
    <t>T108</t>
  </si>
  <si>
    <t>Tenant_108</t>
  </si>
  <si>
    <t>9854580894</t>
  </si>
  <si>
    <t>T109</t>
  </si>
  <si>
    <t>Tenant_109</t>
  </si>
  <si>
    <t>9673030065</t>
  </si>
  <si>
    <t>T110</t>
  </si>
  <si>
    <t>Tenant_110</t>
  </si>
  <si>
    <t>9190226946</t>
  </si>
  <si>
    <t>T111</t>
  </si>
  <si>
    <t>Tenant_111</t>
  </si>
  <si>
    <t>9189813534</t>
  </si>
  <si>
    <t>T112</t>
  </si>
  <si>
    <t>Tenant_112</t>
  </si>
  <si>
    <t>9506104514</t>
  </si>
  <si>
    <t>T113</t>
  </si>
  <si>
    <t>Tenant_113</t>
  </si>
  <si>
    <t>9818536994</t>
  </si>
  <si>
    <t>T114</t>
  </si>
  <si>
    <t>Tenant_114</t>
  </si>
  <si>
    <t>9345338453</t>
  </si>
  <si>
    <t>T115</t>
  </si>
  <si>
    <t>Tenant_115</t>
  </si>
  <si>
    <t>9342806421</t>
  </si>
  <si>
    <t>T116</t>
  </si>
  <si>
    <t>Tenant_116</t>
  </si>
  <si>
    <t>9852467317</t>
  </si>
  <si>
    <t>T117</t>
  </si>
  <si>
    <t>Tenant_117</t>
  </si>
  <si>
    <t>9713070338</t>
  </si>
  <si>
    <t>T118</t>
  </si>
  <si>
    <t>Tenant_118</t>
  </si>
  <si>
    <t>9791781973</t>
  </si>
  <si>
    <t>T119</t>
  </si>
  <si>
    <t>Tenant_119</t>
  </si>
  <si>
    <t>9949308454</t>
  </si>
  <si>
    <t>T120</t>
  </si>
  <si>
    <t>Tenant_120</t>
  </si>
  <si>
    <t>9500368096</t>
  </si>
  <si>
    <t>T121</t>
  </si>
  <si>
    <t>Tenant_121</t>
  </si>
  <si>
    <t>9771899372</t>
  </si>
  <si>
    <t>T122</t>
  </si>
  <si>
    <t>Tenant_122</t>
  </si>
  <si>
    <t>9492664332</t>
  </si>
  <si>
    <t>T123</t>
  </si>
  <si>
    <t>Tenant_123</t>
  </si>
  <si>
    <t>9331689916</t>
  </si>
  <si>
    <t>T124</t>
  </si>
  <si>
    <t>Tenant_124</t>
  </si>
  <si>
    <t>9187934662</t>
  </si>
  <si>
    <t>T125</t>
  </si>
  <si>
    <t>Tenant_125</t>
  </si>
  <si>
    <t>9530501369</t>
  </si>
  <si>
    <t>T126</t>
  </si>
  <si>
    <t>Tenant_126</t>
  </si>
  <si>
    <t>9174518780</t>
  </si>
  <si>
    <t>T127</t>
  </si>
  <si>
    <t>Tenant_127</t>
  </si>
  <si>
    <t>9350277527</t>
  </si>
  <si>
    <t>T128</t>
  </si>
  <si>
    <t>Tenant_128</t>
  </si>
  <si>
    <t>9935318309</t>
  </si>
  <si>
    <t>T129</t>
  </si>
  <si>
    <t>Tenant_129</t>
  </si>
  <si>
    <t>9141771524</t>
  </si>
  <si>
    <t>T130</t>
  </si>
  <si>
    <t>Tenant_130</t>
  </si>
  <si>
    <t>9102125674</t>
  </si>
  <si>
    <t>T131</t>
  </si>
  <si>
    <t>Tenant_131</t>
  </si>
  <si>
    <t>9972738673</t>
  </si>
  <si>
    <t>T132</t>
  </si>
  <si>
    <t>Tenant_132</t>
  </si>
  <si>
    <t>9394280450</t>
  </si>
  <si>
    <t>T133</t>
  </si>
  <si>
    <t>Tenant_133</t>
  </si>
  <si>
    <t>9693649206</t>
  </si>
  <si>
    <t>T134</t>
  </si>
  <si>
    <t>Tenant_134</t>
  </si>
  <si>
    <t>9431714281</t>
  </si>
  <si>
    <t>T135</t>
  </si>
  <si>
    <t>Tenant_135</t>
  </si>
  <si>
    <t>9448466467</t>
  </si>
  <si>
    <t>T136</t>
  </si>
  <si>
    <t>Tenant_136</t>
  </si>
  <si>
    <t>9370014169</t>
  </si>
  <si>
    <t>T137</t>
  </si>
  <si>
    <t>Tenant_137</t>
  </si>
  <si>
    <t>9266453051</t>
  </si>
  <si>
    <t>T138</t>
  </si>
  <si>
    <t>Tenant_138</t>
  </si>
  <si>
    <t>9512209622</t>
  </si>
  <si>
    <t>T139</t>
  </si>
  <si>
    <t>Tenant_139</t>
  </si>
  <si>
    <t>9216251585</t>
  </si>
  <si>
    <t>T140</t>
  </si>
  <si>
    <t>Tenant_140</t>
  </si>
  <si>
    <t>9424961295</t>
  </si>
  <si>
    <t>T141</t>
  </si>
  <si>
    <t>Tenant_141</t>
  </si>
  <si>
    <t>9101303678</t>
  </si>
  <si>
    <t>T142</t>
  </si>
  <si>
    <t>Tenant_142</t>
  </si>
  <si>
    <t>9842660854</t>
  </si>
  <si>
    <t>T143</t>
  </si>
  <si>
    <t>Tenant_143</t>
  </si>
  <si>
    <t>9766171553</t>
  </si>
  <si>
    <t>T144</t>
  </si>
  <si>
    <t>Tenant_144</t>
  </si>
  <si>
    <t>9305688037</t>
  </si>
  <si>
    <t>T145</t>
  </si>
  <si>
    <t>Tenant_145</t>
  </si>
  <si>
    <t>9994700643</t>
  </si>
  <si>
    <t>T146</t>
  </si>
  <si>
    <t>Tenant_146</t>
  </si>
  <si>
    <t>9101135620</t>
  </si>
  <si>
    <t>T147</t>
  </si>
  <si>
    <t>Tenant_147</t>
  </si>
  <si>
    <t>9782442946</t>
  </si>
  <si>
    <t>T148</t>
  </si>
  <si>
    <t>Tenant_148</t>
  </si>
  <si>
    <t>9152782678</t>
  </si>
  <si>
    <t>T149</t>
  </si>
  <si>
    <t>Tenant_149</t>
  </si>
  <si>
    <t>9535560853</t>
  </si>
  <si>
    <t>T150</t>
  </si>
  <si>
    <t>Tenant_150</t>
  </si>
  <si>
    <t>9506781086</t>
  </si>
  <si>
    <t>T151</t>
  </si>
  <si>
    <t>Tenant_151</t>
  </si>
  <si>
    <t>9278099547</t>
  </si>
  <si>
    <t>T152</t>
  </si>
  <si>
    <t>Tenant_152</t>
  </si>
  <si>
    <t>9920289263</t>
  </si>
  <si>
    <t>T153</t>
  </si>
  <si>
    <t>Tenant_153</t>
  </si>
  <si>
    <t>9629823062</t>
  </si>
  <si>
    <t>T154</t>
  </si>
  <si>
    <t>Tenant_154</t>
  </si>
  <si>
    <t>9598474596</t>
  </si>
  <si>
    <t>T155</t>
  </si>
  <si>
    <t>Tenant_155</t>
  </si>
  <si>
    <t>9759298801</t>
  </si>
  <si>
    <t>T156</t>
  </si>
  <si>
    <t>Tenant_156</t>
  </si>
  <si>
    <t>9879225683</t>
  </si>
  <si>
    <t>T157</t>
  </si>
  <si>
    <t>Tenant_157</t>
  </si>
  <si>
    <t>9529100208</t>
  </si>
  <si>
    <t>T158</t>
  </si>
  <si>
    <t>Tenant_158</t>
  </si>
  <si>
    <t>9402135929</t>
  </si>
  <si>
    <t>T159</t>
  </si>
  <si>
    <t>Tenant_159</t>
  </si>
  <si>
    <t>9911818116</t>
  </si>
  <si>
    <t>T160</t>
  </si>
  <si>
    <t>Tenant_160</t>
  </si>
  <si>
    <t>9417354077</t>
  </si>
  <si>
    <t>T161</t>
  </si>
  <si>
    <t>Tenant_161</t>
  </si>
  <si>
    <t>9203705634</t>
  </si>
  <si>
    <t>T162</t>
  </si>
  <si>
    <t>Tenant_162</t>
  </si>
  <si>
    <t>9550537475</t>
  </si>
  <si>
    <t>T163</t>
  </si>
  <si>
    <t>Tenant_163</t>
  </si>
  <si>
    <t>9457373530</t>
  </si>
  <si>
    <t>T164</t>
  </si>
  <si>
    <t>Tenant_164</t>
  </si>
  <si>
    <t>9857335775</t>
  </si>
  <si>
    <t>T165</t>
  </si>
  <si>
    <t>Tenant_165</t>
  </si>
  <si>
    <t>9114386717</t>
  </si>
  <si>
    <t>T166</t>
  </si>
  <si>
    <t>Tenant_166</t>
  </si>
  <si>
    <t>9674532427</t>
  </si>
  <si>
    <t>T167</t>
  </si>
  <si>
    <t>Tenant_167</t>
  </si>
  <si>
    <t>9894108410</t>
  </si>
  <si>
    <t>T168</t>
  </si>
  <si>
    <t>Tenant_168</t>
  </si>
  <si>
    <t>9773418338</t>
  </si>
  <si>
    <t>T169</t>
  </si>
  <si>
    <t>Tenant_169</t>
  </si>
  <si>
    <t>9131433044</t>
  </si>
  <si>
    <t>T170</t>
  </si>
  <si>
    <t>Tenant_170</t>
  </si>
  <si>
    <t>9755911234</t>
  </si>
  <si>
    <t>T171</t>
  </si>
  <si>
    <t>Tenant_171</t>
  </si>
  <si>
    <t>9892390684</t>
  </si>
  <si>
    <t>T172</t>
  </si>
  <si>
    <t>Tenant_172</t>
  </si>
  <si>
    <t>9185719854</t>
  </si>
  <si>
    <t>T173</t>
  </si>
  <si>
    <t>Tenant_173</t>
  </si>
  <si>
    <t>9478979449</t>
  </si>
  <si>
    <t>T174</t>
  </si>
  <si>
    <t>Tenant_174</t>
  </si>
  <si>
    <t>9497586667</t>
  </si>
  <si>
    <t>T175</t>
  </si>
  <si>
    <t>Tenant_175</t>
  </si>
  <si>
    <t>9621620138</t>
  </si>
  <si>
    <t>T176</t>
  </si>
  <si>
    <t>Tenant_176</t>
  </si>
  <si>
    <t>9713580361</t>
  </si>
  <si>
    <t>T177</t>
  </si>
  <si>
    <t>Tenant_177</t>
  </si>
  <si>
    <t>9773576741</t>
  </si>
  <si>
    <t>T178</t>
  </si>
  <si>
    <t>Tenant_178</t>
  </si>
  <si>
    <t>9816209186</t>
  </si>
  <si>
    <t>T179</t>
  </si>
  <si>
    <t>Tenant_179</t>
  </si>
  <si>
    <t>9463116025</t>
  </si>
  <si>
    <t>T180</t>
  </si>
  <si>
    <t>Tenant_180</t>
  </si>
  <si>
    <t>9594035885</t>
  </si>
  <si>
    <t>T181</t>
  </si>
  <si>
    <t>Tenant_181</t>
  </si>
  <si>
    <t>9154680396</t>
  </si>
  <si>
    <t>T182</t>
  </si>
  <si>
    <t>Tenant_182</t>
  </si>
  <si>
    <t>9581087372</t>
  </si>
  <si>
    <t>T183</t>
  </si>
  <si>
    <t>Tenant_183</t>
  </si>
  <si>
    <t>9990490043</t>
  </si>
  <si>
    <t>T184</t>
  </si>
  <si>
    <t>Tenant_184</t>
  </si>
  <si>
    <t>9477540713</t>
  </si>
  <si>
    <t>T185</t>
  </si>
  <si>
    <t>Tenant_185</t>
  </si>
  <si>
    <t>9155386503</t>
  </si>
  <si>
    <t>T186</t>
  </si>
  <si>
    <t>Tenant_186</t>
  </si>
  <si>
    <t>9784592527</t>
  </si>
  <si>
    <t>T187</t>
  </si>
  <si>
    <t>Tenant_187</t>
  </si>
  <si>
    <t>9440257290</t>
  </si>
  <si>
    <t>T188</t>
  </si>
  <si>
    <t>Tenant_188</t>
  </si>
  <si>
    <t>9675683494</t>
  </si>
  <si>
    <t>T189</t>
  </si>
  <si>
    <t>Tenant_189</t>
  </si>
  <si>
    <t>9562099790</t>
  </si>
  <si>
    <t>T190</t>
  </si>
  <si>
    <t>Tenant_190</t>
  </si>
  <si>
    <t>9513815868</t>
  </si>
  <si>
    <t>T191</t>
  </si>
  <si>
    <t>Tenant_191</t>
  </si>
  <si>
    <t>9908167297</t>
  </si>
  <si>
    <t>T192</t>
  </si>
  <si>
    <t>Tenant_192</t>
  </si>
  <si>
    <t>9965559879</t>
  </si>
  <si>
    <t>T193</t>
  </si>
  <si>
    <t>Tenant_193</t>
  </si>
  <si>
    <t>9509370316</t>
  </si>
  <si>
    <t>T194</t>
  </si>
  <si>
    <t>Tenant_194</t>
  </si>
  <si>
    <t>9636043758</t>
  </si>
  <si>
    <t>T195</t>
  </si>
  <si>
    <t>Tenant_195</t>
  </si>
  <si>
    <t>9192928710</t>
  </si>
  <si>
    <t>T196</t>
  </si>
  <si>
    <t>Tenant_196</t>
  </si>
  <si>
    <t>9831108717</t>
  </si>
  <si>
    <t>T197</t>
  </si>
  <si>
    <t>Tenant_197</t>
  </si>
  <si>
    <t>9938525883</t>
  </si>
  <si>
    <t>T198</t>
  </si>
  <si>
    <t>Tenant_198</t>
  </si>
  <si>
    <t>9995943520</t>
  </si>
  <si>
    <t>T199</t>
  </si>
  <si>
    <t>Tenant_199</t>
  </si>
  <si>
    <t>9640917100</t>
  </si>
  <si>
    <t>T200</t>
  </si>
  <si>
    <t>Tenant_200</t>
  </si>
  <si>
    <t>9857697647</t>
  </si>
  <si>
    <t>T201</t>
  </si>
  <si>
    <t>Tenant_201</t>
  </si>
  <si>
    <t>9840108620</t>
  </si>
  <si>
    <t>T202</t>
  </si>
  <si>
    <t>Tenant_202</t>
  </si>
  <si>
    <t>9939055334</t>
  </si>
  <si>
    <t>T203</t>
  </si>
  <si>
    <t>Tenant_203</t>
  </si>
  <si>
    <t>9909941595</t>
  </si>
  <si>
    <t>T204</t>
  </si>
  <si>
    <t>Tenant_204</t>
  </si>
  <si>
    <t>9851938144</t>
  </si>
  <si>
    <t>T205</t>
  </si>
  <si>
    <t>Tenant_205</t>
  </si>
  <si>
    <t>9391462039</t>
  </si>
  <si>
    <t>T206</t>
  </si>
  <si>
    <t>Tenant_206</t>
  </si>
  <si>
    <t>9332352742</t>
  </si>
  <si>
    <t>T207</t>
  </si>
  <si>
    <t>Tenant_207</t>
  </si>
  <si>
    <t>9658681119</t>
  </si>
  <si>
    <t>T208</t>
  </si>
  <si>
    <t>Tenant_208</t>
  </si>
  <si>
    <t>9271764235</t>
  </si>
  <si>
    <t>T209</t>
  </si>
  <si>
    <t>Tenant_209</t>
  </si>
  <si>
    <t>9243959229</t>
  </si>
  <si>
    <t>T210</t>
  </si>
  <si>
    <t>Tenant_210</t>
  </si>
  <si>
    <t>9397804615</t>
  </si>
  <si>
    <t>T211</t>
  </si>
  <si>
    <t>Tenant_211</t>
  </si>
  <si>
    <t>9397802801</t>
  </si>
  <si>
    <t>T212</t>
  </si>
  <si>
    <t>Tenant_212</t>
  </si>
  <si>
    <t>9769843598</t>
  </si>
  <si>
    <t>T213</t>
  </si>
  <si>
    <t>Tenant_213</t>
  </si>
  <si>
    <t>9565791922</t>
  </si>
  <si>
    <t>T214</t>
  </si>
  <si>
    <t>Tenant_214</t>
  </si>
  <si>
    <t>9463540024</t>
  </si>
  <si>
    <t>T215</t>
  </si>
  <si>
    <t>Tenant_215</t>
  </si>
  <si>
    <t>9905989989</t>
  </si>
  <si>
    <t>T216</t>
  </si>
  <si>
    <t>Tenant_216</t>
  </si>
  <si>
    <t>9734355103</t>
  </si>
  <si>
    <t>T217</t>
  </si>
  <si>
    <t>Tenant_217</t>
  </si>
  <si>
    <t>9740576043</t>
  </si>
  <si>
    <t>T218</t>
  </si>
  <si>
    <t>Tenant_218</t>
  </si>
  <si>
    <t>9957916499</t>
  </si>
  <si>
    <t>T219</t>
  </si>
  <si>
    <t>Tenant_219</t>
  </si>
  <si>
    <t>9778192904</t>
  </si>
  <si>
    <t>T220</t>
  </si>
  <si>
    <t>Tenant_220</t>
  </si>
  <si>
    <t>9605395166</t>
  </si>
  <si>
    <t>T221</t>
  </si>
  <si>
    <t>Tenant_221</t>
  </si>
  <si>
    <t>9993932477</t>
  </si>
  <si>
    <t>T222</t>
  </si>
  <si>
    <t>Tenant_222</t>
  </si>
  <si>
    <t>9471569681</t>
  </si>
  <si>
    <t>T223</t>
  </si>
  <si>
    <t>Tenant_223</t>
  </si>
  <si>
    <t>9754578859</t>
  </si>
  <si>
    <t>T224</t>
  </si>
  <si>
    <t>Tenant_224</t>
  </si>
  <si>
    <t>9704817483</t>
  </si>
  <si>
    <t>T225</t>
  </si>
  <si>
    <t>Tenant_225</t>
  </si>
  <si>
    <t>9206175780</t>
  </si>
  <si>
    <t>T226</t>
  </si>
  <si>
    <t>Tenant_226</t>
  </si>
  <si>
    <t>9500892620</t>
  </si>
  <si>
    <t>T227</t>
  </si>
  <si>
    <t>Tenant_227</t>
  </si>
  <si>
    <t>9582289350</t>
  </si>
  <si>
    <t>T228</t>
  </si>
  <si>
    <t>Tenant_228</t>
  </si>
  <si>
    <t>9791035634</t>
  </si>
  <si>
    <t>T229</t>
  </si>
  <si>
    <t>Tenant_229</t>
  </si>
  <si>
    <t>9638350594</t>
  </si>
  <si>
    <t>T230</t>
  </si>
  <si>
    <t>Tenant_230</t>
  </si>
  <si>
    <t>9214683290</t>
  </si>
  <si>
    <t>T231</t>
  </si>
  <si>
    <t>Tenant_231</t>
  </si>
  <si>
    <t>9622624606</t>
  </si>
  <si>
    <t>T232</t>
  </si>
  <si>
    <t>Tenant_232</t>
  </si>
  <si>
    <t>9896651568</t>
  </si>
  <si>
    <t>T233</t>
  </si>
  <si>
    <t>Tenant_233</t>
  </si>
  <si>
    <t>9660874846</t>
  </si>
  <si>
    <t>T234</t>
  </si>
  <si>
    <t>Tenant_234</t>
  </si>
  <si>
    <t>9470590110</t>
  </si>
  <si>
    <t>T235</t>
  </si>
  <si>
    <t>Tenant_235</t>
  </si>
  <si>
    <t>9911268189</t>
  </si>
  <si>
    <t>T236</t>
  </si>
  <si>
    <t>Tenant_236</t>
  </si>
  <si>
    <t>9155545508</t>
  </si>
  <si>
    <t>T237</t>
  </si>
  <si>
    <t>Tenant_237</t>
  </si>
  <si>
    <t>9170270425</t>
  </si>
  <si>
    <t>T238</t>
  </si>
  <si>
    <t>Tenant_238</t>
  </si>
  <si>
    <t>9668828887</t>
  </si>
  <si>
    <t>T239</t>
  </si>
  <si>
    <t>Tenant_239</t>
  </si>
  <si>
    <t>9413423177</t>
  </si>
  <si>
    <t>T240</t>
  </si>
  <si>
    <t>Tenant_240</t>
  </si>
  <si>
    <t>9517976110</t>
  </si>
  <si>
    <t>T241</t>
  </si>
  <si>
    <t>Tenant_241</t>
  </si>
  <si>
    <t>9806508855</t>
  </si>
  <si>
    <t>T242</t>
  </si>
  <si>
    <t>Tenant_242</t>
  </si>
  <si>
    <t>9465381646</t>
  </si>
  <si>
    <t>T243</t>
  </si>
  <si>
    <t>Tenant_243</t>
  </si>
  <si>
    <t>9714497428</t>
  </si>
  <si>
    <t>T244</t>
  </si>
  <si>
    <t>Tenant_244</t>
  </si>
  <si>
    <t>9167637486</t>
  </si>
  <si>
    <t>T245</t>
  </si>
  <si>
    <t>Tenant_245</t>
  </si>
  <si>
    <t>9713235580</t>
  </si>
  <si>
    <t>T246</t>
  </si>
  <si>
    <t>Tenant_246</t>
  </si>
  <si>
    <t>9110556789</t>
  </si>
  <si>
    <t>T247</t>
  </si>
  <si>
    <t>Tenant_247</t>
  </si>
  <si>
    <t>9649229430</t>
  </si>
  <si>
    <t>T248</t>
  </si>
  <si>
    <t>Tenant_248</t>
  </si>
  <si>
    <t>9716466142</t>
  </si>
  <si>
    <t>T249</t>
  </si>
  <si>
    <t>Tenant_249</t>
  </si>
  <si>
    <t>9483911222</t>
  </si>
  <si>
    <t>T250</t>
  </si>
  <si>
    <t>Tenant_250</t>
  </si>
  <si>
    <t>9628730894</t>
  </si>
  <si>
    <t>Payment_Date</t>
  </si>
  <si>
    <t>Payment_Month</t>
  </si>
  <si>
    <t>Paid_Amount</t>
  </si>
  <si>
    <t>Payment_Mode</t>
  </si>
  <si>
    <t>Payment_Status</t>
  </si>
  <si>
    <t>2024-03</t>
  </si>
  <si>
    <t>UPI</t>
  </si>
  <si>
    <t>Pending</t>
  </si>
  <si>
    <t>2024-08</t>
  </si>
  <si>
    <t>Cash</t>
  </si>
  <si>
    <t>Partial</t>
  </si>
  <si>
    <t>2024-11</t>
  </si>
  <si>
    <t>2024-07</t>
  </si>
  <si>
    <t>Bank</t>
  </si>
  <si>
    <t>Paid</t>
  </si>
  <si>
    <t>2025-02</t>
  </si>
  <si>
    <t>2024-02</t>
  </si>
  <si>
    <t>2024-01</t>
  </si>
  <si>
    <t>2024-09</t>
  </si>
  <si>
    <t>2024-10</t>
  </si>
  <si>
    <t>2024-06</t>
  </si>
  <si>
    <t>2024-12</t>
  </si>
  <si>
    <t>2024-05</t>
  </si>
  <si>
    <t>2025-03</t>
  </si>
  <si>
    <t>2024-04</t>
  </si>
  <si>
    <t>2025-01</t>
  </si>
  <si>
    <t>Expense_Type</t>
  </si>
  <si>
    <t>Electrical</t>
  </si>
  <si>
    <t>Cleaning</t>
  </si>
  <si>
    <t>Painting</t>
  </si>
  <si>
    <t>Plumbing</t>
  </si>
  <si>
    <t>Tax</t>
  </si>
  <si>
    <t>SilverLeaf Apartments</t>
  </si>
  <si>
    <t>The Opal Enclave</t>
  </si>
  <si>
    <t>Aura Heights</t>
  </si>
  <si>
    <t>The Grand Nook</t>
  </si>
  <si>
    <t>Crystal Crown Apartments</t>
  </si>
  <si>
    <t>Golden Arc Homes</t>
  </si>
  <si>
    <t>Willow Crest Homes</t>
  </si>
  <si>
    <t>Azure Bloom Homes</t>
  </si>
  <si>
    <t>Sunrise Elite Homes</t>
  </si>
  <si>
    <t>Serenity Springs</t>
  </si>
  <si>
    <t>The Avenue Mall</t>
  </si>
  <si>
    <t>Infinity Mall</t>
  </si>
  <si>
    <t>Crown Central</t>
  </si>
  <si>
    <t>Nova Square</t>
  </si>
  <si>
    <t>Urban Plaza</t>
  </si>
  <si>
    <t>TOTAL RENT COLLECTED</t>
  </si>
  <si>
    <t>ACTIVE TENANT</t>
  </si>
  <si>
    <t>NET PROFIT</t>
  </si>
  <si>
    <t>TOTAL PROPERTIES</t>
  </si>
  <si>
    <t>TOTAL EXPENSES</t>
  </si>
  <si>
    <t>Sum of Paid_Amount</t>
  </si>
  <si>
    <t>Row Labels</t>
  </si>
  <si>
    <t>Grand Total</t>
  </si>
  <si>
    <t>MONTH</t>
  </si>
  <si>
    <t>Jan</t>
  </si>
  <si>
    <t>Feb</t>
  </si>
  <si>
    <t>Mar</t>
  </si>
  <si>
    <t>Apr</t>
  </si>
  <si>
    <t>May</t>
  </si>
  <si>
    <t>Jun</t>
  </si>
  <si>
    <t>Jul</t>
  </si>
  <si>
    <t>Aug</t>
  </si>
  <si>
    <t>Sep</t>
  </si>
  <si>
    <t>Oct</t>
  </si>
  <si>
    <t>Nov</t>
  </si>
  <si>
    <t>Dec</t>
  </si>
  <si>
    <t>Sum of Expected_Rent</t>
  </si>
  <si>
    <t>Expenses Amount</t>
  </si>
  <si>
    <t>Sum of Expenses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</si>
</sst>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quot;₹&quot;\ #,##0;[Red]&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6" fontId="0" fillId="0" borderId="0" xfId="0" applyNumberFormat="1"/>
  </cellXfs>
  <cellStyles count="1">
    <cellStyle name="Normal" xfId="0" builtinId="0"/>
  </cellStyles>
  <dxfs count="5">
    <dxf>
      <numFmt numFmtId="166" formatCode="&quot;₹&quot;\ #,##0;[Red]&quot;₹&quot;\ #,##0"/>
    </dxf>
    <dxf>
      <numFmt numFmtId="166" formatCode="&quot;₹&quot;\ #,##0;[Red]&quot;₹&quot;\ #,##0"/>
    </dxf>
    <dxf>
      <numFmt numFmtId="0" formatCode="General"/>
    </dxf>
    <dxf>
      <numFmt numFmtId="164" formatCode="yyyy\-mm\-dd"/>
    </dxf>
    <dxf>
      <numFmt numFmtId="164" formatCode="yyyy\-mm\-dd"/>
    </dxf>
  </dxfs>
  <tableStyles count="0" defaultTableStyle="TableStyleMedium9" defaultPivotStyle="PivotStyleLight16"/>
  <colors>
    <mruColors>
      <color rgb="FF0B5F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[Rental_Management_Project.xlsx]Pivot data!PivotTable18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0B05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rgbClr val="00B05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1.422585306260064E-3"/>
          <c:y val="2.1513948694392895E-2"/>
          <c:w val="0.99526685987844055"/>
          <c:h val="0.87696706832717874"/>
        </c:manualLayout>
      </c:layout>
      <c:lineChart>
        <c:grouping val="standard"/>
        <c:varyColors val="0"/>
        <c:ser>
          <c:idx val="0"/>
          <c:order val="0"/>
          <c:tx>
            <c:strRef>
              <c:f>'Pivot data'!$H$1</c:f>
              <c:strCache>
                <c:ptCount val="1"/>
                <c:pt idx="0">
                  <c:v>Total</c:v>
                </c:pt>
              </c:strCache>
            </c:strRef>
          </c:tx>
          <c:spPr>
            <a:ln w="34925" cap="rnd">
              <a:solidFill>
                <a:srgbClr val="00B050"/>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data'!$G$2:$G$14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data'!$H$2:$H$14</c:f>
              <c:numCache>
                <c:formatCode>General</c:formatCode>
                <c:ptCount val="12"/>
                <c:pt idx="0">
                  <c:v>945898</c:v>
                </c:pt>
                <c:pt idx="1">
                  <c:v>1347683</c:v>
                </c:pt>
                <c:pt idx="2">
                  <c:v>911347</c:v>
                </c:pt>
                <c:pt idx="3">
                  <c:v>571527</c:v>
                </c:pt>
                <c:pt idx="4">
                  <c:v>589289</c:v>
                </c:pt>
                <c:pt idx="5">
                  <c:v>707066</c:v>
                </c:pt>
                <c:pt idx="6">
                  <c:v>278502</c:v>
                </c:pt>
                <c:pt idx="7">
                  <c:v>935402</c:v>
                </c:pt>
                <c:pt idx="8">
                  <c:v>589490</c:v>
                </c:pt>
                <c:pt idx="9">
                  <c:v>337055</c:v>
                </c:pt>
                <c:pt idx="10">
                  <c:v>728501</c:v>
                </c:pt>
                <c:pt idx="11">
                  <c:v>410014</c:v>
                </c:pt>
              </c:numCache>
            </c:numRef>
          </c:val>
          <c:smooth val="0"/>
          <c:extLst>
            <c:ext xmlns:c16="http://schemas.microsoft.com/office/drawing/2014/chart" uri="{C3380CC4-5D6E-409C-BE32-E72D297353CC}">
              <c16:uniqueId val="{00000000-9F9D-4AA3-9604-638E162228D1}"/>
            </c:ext>
          </c:extLst>
        </c:ser>
        <c:dLbls>
          <c:dLblPos val="t"/>
          <c:showLegendKey val="0"/>
          <c:showVal val="1"/>
          <c:showCatName val="0"/>
          <c:showSerName val="0"/>
          <c:showPercent val="0"/>
          <c:showBubbleSize val="0"/>
        </c:dLbls>
        <c:dropLines>
          <c:spPr>
            <a:ln w="19050" cap="flat" cmpd="sng" algn="ctr">
              <a:solidFill>
                <a:schemeClr val="accent1">
                  <a:lumMod val="75000"/>
                </a:schemeClr>
              </a:solidFill>
              <a:round/>
            </a:ln>
            <a:effectLst/>
          </c:spPr>
        </c:dropLines>
        <c:marker val="1"/>
        <c:smooth val="0"/>
        <c:axId val="1835851648"/>
        <c:axId val="1835867488"/>
      </c:lineChart>
      <c:catAx>
        <c:axId val="1835851648"/>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835867488"/>
        <c:crosses val="autoZero"/>
        <c:auto val="1"/>
        <c:lblAlgn val="ctr"/>
        <c:lblOffset val="100"/>
        <c:noMultiLvlLbl val="0"/>
      </c:catAx>
      <c:valAx>
        <c:axId val="1835867488"/>
        <c:scaling>
          <c:orientation val="minMax"/>
        </c:scaling>
        <c:delete val="1"/>
        <c:axPos val="l"/>
        <c:numFmt formatCode="General" sourceLinked="1"/>
        <c:majorTickMark val="none"/>
        <c:minorTickMark val="none"/>
        <c:tickLblPos val="nextTo"/>
        <c:crossAx val="1835851648"/>
        <c:crosses val="autoZero"/>
        <c:crossBetween val="between"/>
      </c:valAx>
      <c:spPr>
        <a:solidFill>
          <a:srgbClr val="92D050"/>
        </a:solidFill>
        <a:ln>
          <a:solidFill>
            <a:srgbClr val="00B05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[Rental_Management_Project.xlsx]Pivot data!PivotTable16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3579493086346"/>
          <c:y val="6.8699208981246068E-2"/>
          <c:w val="0.83553082794635536"/>
          <c:h val="0.88373980018558362"/>
        </c:manualLayout>
      </c:layout>
      <c:barChart>
        <c:barDir val="bar"/>
        <c:grouping val="clustered"/>
        <c:varyColors val="0"/>
        <c:ser>
          <c:idx val="0"/>
          <c:order val="0"/>
          <c:tx>
            <c:strRef>
              <c:f>'Pivot data'!$B$1</c:f>
              <c:strCache>
                <c:ptCount val="1"/>
                <c:pt idx="0">
                  <c:v>Total</c:v>
                </c:pt>
              </c:strCache>
            </c:strRef>
          </c:tx>
          <c:spPr>
            <a:solidFill>
              <a:schemeClr val="accent1"/>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data'!$A$2:$A$7</c:f>
              <c:strCache>
                <c:ptCount val="5"/>
                <c:pt idx="0">
                  <c:v>Bangalore</c:v>
                </c:pt>
                <c:pt idx="1">
                  <c:v>Chennai</c:v>
                </c:pt>
                <c:pt idx="2">
                  <c:v>Hyderabad</c:v>
                </c:pt>
                <c:pt idx="3">
                  <c:v>Mumbai</c:v>
                </c:pt>
                <c:pt idx="4">
                  <c:v>Pune</c:v>
                </c:pt>
              </c:strCache>
            </c:strRef>
          </c:cat>
          <c:val>
            <c:numRef>
              <c:f>'Pivot data'!$B$2:$B$7</c:f>
              <c:numCache>
                <c:formatCode>General</c:formatCode>
                <c:ptCount val="5"/>
                <c:pt idx="0">
                  <c:v>1853931</c:v>
                </c:pt>
                <c:pt idx="1">
                  <c:v>1503796</c:v>
                </c:pt>
                <c:pt idx="2">
                  <c:v>2001652</c:v>
                </c:pt>
                <c:pt idx="3">
                  <c:v>2139188</c:v>
                </c:pt>
                <c:pt idx="4">
                  <c:v>1720676</c:v>
                </c:pt>
              </c:numCache>
            </c:numRef>
          </c:val>
          <c:extLst>
            <c:ext xmlns:c16="http://schemas.microsoft.com/office/drawing/2014/chart" uri="{C3380CC4-5D6E-409C-BE32-E72D297353CC}">
              <c16:uniqueId val="{00000000-6716-45A4-98E6-41DD1F747B64}"/>
            </c:ext>
          </c:extLst>
        </c:ser>
        <c:dLbls>
          <c:dLblPos val="outEnd"/>
          <c:showLegendKey val="0"/>
          <c:showVal val="1"/>
          <c:showCatName val="0"/>
          <c:showSerName val="0"/>
          <c:showPercent val="0"/>
          <c:showBubbleSize val="0"/>
        </c:dLbls>
        <c:gapWidth val="182"/>
        <c:axId val="1835863168"/>
        <c:axId val="1835862208"/>
      </c:barChart>
      <c:catAx>
        <c:axId val="1835863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835862208"/>
        <c:crosses val="autoZero"/>
        <c:auto val="1"/>
        <c:lblAlgn val="ctr"/>
        <c:lblOffset val="100"/>
        <c:noMultiLvlLbl val="0"/>
      </c:catAx>
      <c:valAx>
        <c:axId val="1835862208"/>
        <c:scaling>
          <c:orientation val="minMax"/>
        </c:scaling>
        <c:delete val="1"/>
        <c:axPos val="b"/>
        <c:numFmt formatCode="General" sourceLinked="1"/>
        <c:majorTickMark val="none"/>
        <c:minorTickMark val="none"/>
        <c:tickLblPos val="nextTo"/>
        <c:crossAx val="183586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[Rental_Management_Project.xlsx]Pivot data!PivotTable20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313251433301937"/>
              <c:y val="-3.6966819126496409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271082526434573"/>
              <c:y val="8.0094774774075492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662648745061106"/>
              <c:y val="-8.0094774774075492E-2"/>
            </c:manualLayout>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data'!$M$1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F3-4C53-9B27-43E9DF8334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F3-4C53-9B27-43E9DF8334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0F3-4C53-9B27-43E9DF8334E5}"/>
              </c:ext>
            </c:extLst>
          </c:dPt>
          <c:dLbls>
            <c:dLbl>
              <c:idx val="0"/>
              <c:layout>
                <c:manualLayout>
                  <c:x val="0.13313251433301937"/>
                  <c:y val="-3.69668191264964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F3-4C53-9B27-43E9DF8334E5}"/>
                </c:ext>
              </c:extLst>
            </c:dLbl>
            <c:dLbl>
              <c:idx val="1"/>
              <c:layout>
                <c:manualLayout>
                  <c:x val="0.15271082526434573"/>
                  <c:y val="8.0094774774075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F3-4C53-9B27-43E9DF8334E5}"/>
                </c:ext>
              </c:extLst>
            </c:dLbl>
            <c:dLbl>
              <c:idx val="2"/>
              <c:layout>
                <c:manualLayout>
                  <c:x val="-0.15662648745061106"/>
                  <c:y val="-8.0094774774075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F3-4C53-9B27-43E9DF8334E5}"/>
                </c:ext>
              </c:extLst>
            </c:dLbl>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data'!$L$2:$L$5</c:f>
              <c:strCache>
                <c:ptCount val="3"/>
                <c:pt idx="0">
                  <c:v>Flat</c:v>
                </c:pt>
                <c:pt idx="1">
                  <c:v>House</c:v>
                </c:pt>
                <c:pt idx="2">
                  <c:v>Shop</c:v>
                </c:pt>
              </c:strCache>
            </c:strRef>
          </c:cat>
          <c:val>
            <c:numRef>
              <c:f>'Pivot data'!$M$2:$M$5</c:f>
              <c:numCache>
                <c:formatCode>General</c:formatCode>
                <c:ptCount val="3"/>
                <c:pt idx="0">
                  <c:v>795294</c:v>
                </c:pt>
                <c:pt idx="1">
                  <c:v>893590</c:v>
                </c:pt>
                <c:pt idx="2">
                  <c:v>1021962</c:v>
                </c:pt>
              </c:numCache>
            </c:numRef>
          </c:val>
          <c:extLst>
            <c:ext xmlns:c16="http://schemas.microsoft.com/office/drawing/2014/chart" uri="{C3380CC4-5D6E-409C-BE32-E72D297353CC}">
              <c16:uniqueId val="{00000006-A0F3-4C53-9B27-43E9DF8334E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[Rental_Management_Project.xlsx]Pivot data!PivotTable17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89031282378581E-4"/>
          <c:y val="0.1857143594445945"/>
          <c:w val="0.99860374015748055"/>
          <c:h val="0.68698657592267964"/>
        </c:manualLayout>
      </c:layout>
      <c:barChart>
        <c:barDir val="col"/>
        <c:grouping val="clustered"/>
        <c:varyColors val="0"/>
        <c:ser>
          <c:idx val="0"/>
          <c:order val="0"/>
          <c:tx>
            <c:strRef>
              <c:f>'Pivot data'!$B$15</c:f>
              <c:strCache>
                <c:ptCount val="1"/>
                <c:pt idx="0">
                  <c:v>Total</c:v>
                </c:pt>
              </c:strCache>
            </c:strRef>
          </c:tx>
          <c:spPr>
            <a:solidFill>
              <a:schemeClr val="accent1"/>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data'!$A$16:$A$21</c:f>
              <c:strCache>
                <c:ptCount val="5"/>
                <c:pt idx="0">
                  <c:v>Cleaning</c:v>
                </c:pt>
                <c:pt idx="1">
                  <c:v>Electrical</c:v>
                </c:pt>
                <c:pt idx="2">
                  <c:v>Painting</c:v>
                </c:pt>
                <c:pt idx="3">
                  <c:v>Plumbing</c:v>
                </c:pt>
                <c:pt idx="4">
                  <c:v>Tax</c:v>
                </c:pt>
              </c:strCache>
            </c:strRef>
          </c:cat>
          <c:val>
            <c:numRef>
              <c:f>'Pivot data'!$B$16:$B$21</c:f>
              <c:numCache>
                <c:formatCode>General</c:formatCode>
                <c:ptCount val="5"/>
                <c:pt idx="0">
                  <c:v>703300</c:v>
                </c:pt>
                <c:pt idx="1">
                  <c:v>573598</c:v>
                </c:pt>
                <c:pt idx="2">
                  <c:v>542191</c:v>
                </c:pt>
                <c:pt idx="3">
                  <c:v>474280</c:v>
                </c:pt>
                <c:pt idx="4">
                  <c:v>417477</c:v>
                </c:pt>
              </c:numCache>
            </c:numRef>
          </c:val>
          <c:extLst>
            <c:ext xmlns:c16="http://schemas.microsoft.com/office/drawing/2014/chart" uri="{C3380CC4-5D6E-409C-BE32-E72D297353CC}">
              <c16:uniqueId val="{00000000-0C09-4CA1-BDBC-5DC0EDE4255C}"/>
            </c:ext>
          </c:extLst>
        </c:ser>
        <c:dLbls>
          <c:dLblPos val="outEnd"/>
          <c:showLegendKey val="0"/>
          <c:showVal val="1"/>
          <c:showCatName val="0"/>
          <c:showSerName val="0"/>
          <c:showPercent val="0"/>
          <c:showBubbleSize val="0"/>
        </c:dLbls>
        <c:gapWidth val="219"/>
        <c:overlap val="-27"/>
        <c:axId val="948812000"/>
        <c:axId val="948812480"/>
      </c:barChart>
      <c:catAx>
        <c:axId val="948812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48812480"/>
        <c:crosses val="autoZero"/>
        <c:auto val="1"/>
        <c:lblAlgn val="ctr"/>
        <c:lblOffset val="100"/>
        <c:noMultiLvlLbl val="0"/>
      </c:catAx>
      <c:valAx>
        <c:axId val="948812480"/>
        <c:scaling>
          <c:orientation val="minMax"/>
        </c:scaling>
        <c:delete val="1"/>
        <c:axPos val="l"/>
        <c:numFmt formatCode="General" sourceLinked="1"/>
        <c:majorTickMark val="none"/>
        <c:minorTickMark val="none"/>
        <c:tickLblPos val="nextTo"/>
        <c:crossAx val="94881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[Rental_Management_Project.xlsx]Pivot data!PivotTable19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data'!$H$21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EC-4363-A3A9-2B7B200635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EC-4363-A3A9-2B7B200635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EC-4363-A3A9-2B7B20063583}"/>
              </c:ext>
            </c:extLst>
          </c:dPt>
          <c:dLbls>
            <c:spPr>
              <a:solidFill>
                <a:srgbClr val="92D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data'!$G$22:$G$25</c:f>
              <c:strCache>
                <c:ptCount val="3"/>
                <c:pt idx="0">
                  <c:v>Bank</c:v>
                </c:pt>
                <c:pt idx="1">
                  <c:v>Cash</c:v>
                </c:pt>
                <c:pt idx="2">
                  <c:v>UPI</c:v>
                </c:pt>
              </c:strCache>
            </c:strRef>
          </c:cat>
          <c:val>
            <c:numRef>
              <c:f>'Pivot data'!$H$22:$H$25</c:f>
              <c:numCache>
                <c:formatCode>General</c:formatCode>
                <c:ptCount val="3"/>
                <c:pt idx="0">
                  <c:v>2741907</c:v>
                </c:pt>
                <c:pt idx="1">
                  <c:v>2526258</c:v>
                </c:pt>
                <c:pt idx="2">
                  <c:v>3083609</c:v>
                </c:pt>
              </c:numCache>
            </c:numRef>
          </c:val>
          <c:extLst>
            <c:ext xmlns:c16="http://schemas.microsoft.com/office/drawing/2014/chart" uri="{C3380CC4-5D6E-409C-BE32-E72D297353CC}">
              <c16:uniqueId val="{00000006-96EC-4363-A3A9-2B7B2006358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37238</xdr:rowOff>
    </xdr:from>
    <xdr:to>
      <xdr:col>21</xdr:col>
      <xdr:colOff>129397</xdr:colOff>
      <xdr:row>4</xdr:row>
      <xdr:rowOff>37238</xdr:rowOff>
    </xdr:to>
    <xdr:sp macro="" textlink="">
      <xdr:nvSpPr>
        <xdr:cNvPr id="4" name="Rectangle: Rounded Corners 3">
          <a:extLst>
            <a:ext uri="{FF2B5EF4-FFF2-40B4-BE49-F238E27FC236}">
              <a16:creationId xmlns:a16="http://schemas.microsoft.com/office/drawing/2014/main" id="{A88997CA-6102-A295-62CA-EA564E4150C9}"/>
            </a:ext>
          </a:extLst>
        </xdr:cNvPr>
        <xdr:cNvSpPr/>
      </xdr:nvSpPr>
      <xdr:spPr>
        <a:xfrm>
          <a:off x="1" y="37238"/>
          <a:ext cx="12810226" cy="74762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358140</xdr:colOff>
      <xdr:row>11</xdr:row>
      <xdr:rowOff>114300</xdr:rowOff>
    </xdr:from>
    <xdr:to>
      <xdr:col>11</xdr:col>
      <xdr:colOff>434340</xdr:colOff>
      <xdr:row>11</xdr:row>
      <xdr:rowOff>160019</xdr:rowOff>
    </xdr:to>
    <xdr:sp macro="" textlink="">
      <xdr:nvSpPr>
        <xdr:cNvPr id="30" name="TextBox 29">
          <a:extLst>
            <a:ext uri="{FF2B5EF4-FFF2-40B4-BE49-F238E27FC236}">
              <a16:creationId xmlns:a16="http://schemas.microsoft.com/office/drawing/2014/main" id="{A66FEFB7-40EE-17BA-AA47-10D3015CD9BA}"/>
            </a:ext>
          </a:extLst>
        </xdr:cNvPr>
        <xdr:cNvSpPr txBox="1"/>
      </xdr:nvSpPr>
      <xdr:spPr>
        <a:xfrm>
          <a:off x="7063740" y="2125980"/>
          <a:ext cx="762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434340</xdr:colOff>
      <xdr:row>4</xdr:row>
      <xdr:rowOff>114300</xdr:rowOff>
    </xdr:from>
    <xdr:to>
      <xdr:col>16</xdr:col>
      <xdr:colOff>515940</xdr:colOff>
      <xdr:row>8</xdr:row>
      <xdr:rowOff>114300</xdr:rowOff>
    </xdr:to>
    <xdr:grpSp>
      <xdr:nvGrpSpPr>
        <xdr:cNvPr id="52" name="Group 51">
          <a:extLst>
            <a:ext uri="{FF2B5EF4-FFF2-40B4-BE49-F238E27FC236}">
              <a16:creationId xmlns:a16="http://schemas.microsoft.com/office/drawing/2014/main" id="{8F655E2B-AC44-4663-0FD6-F2B856DC2A5F}"/>
            </a:ext>
          </a:extLst>
        </xdr:cNvPr>
        <xdr:cNvGrpSpPr/>
      </xdr:nvGrpSpPr>
      <xdr:grpSpPr>
        <a:xfrm>
          <a:off x="7749540" y="859367"/>
          <a:ext cx="2520000" cy="745066"/>
          <a:chOff x="7780020" y="853440"/>
          <a:chExt cx="2520000" cy="73152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707AC745-DC68-499F-85FF-531A8E0CEE99}"/>
              </a:ext>
            </a:extLst>
          </xdr:cNvPr>
          <xdr:cNvSpPr/>
        </xdr:nvSpPr>
        <xdr:spPr>
          <a:xfrm>
            <a:off x="7780020" y="861060"/>
            <a:ext cx="2520000"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8A2556E1-8337-47E6-9943-973317546627}"/>
              </a:ext>
            </a:extLst>
          </xdr:cNvPr>
          <xdr:cNvSpPr/>
        </xdr:nvSpPr>
        <xdr:spPr>
          <a:xfrm>
            <a:off x="7780020" y="853440"/>
            <a:ext cx="586740" cy="72390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83F7821E-3A55-33D4-3892-B9CDF33187AF}"/>
              </a:ext>
            </a:extLst>
          </xdr:cNvPr>
          <xdr:cNvSpPr txBox="1"/>
        </xdr:nvSpPr>
        <xdr:spPr>
          <a:xfrm>
            <a:off x="8420100" y="914400"/>
            <a:ext cx="167640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PROPERTIES</a:t>
            </a:r>
          </a:p>
        </xdr:txBody>
      </xdr:sp>
      <xdr:sp macro="" textlink="Properties!N2">
        <xdr:nvSpPr>
          <xdr:cNvPr id="28" name="TextBox 27">
            <a:extLst>
              <a:ext uri="{FF2B5EF4-FFF2-40B4-BE49-F238E27FC236}">
                <a16:creationId xmlns:a16="http://schemas.microsoft.com/office/drawing/2014/main" id="{97341870-427F-EFE5-46BE-FE8EA000159E}"/>
              </a:ext>
            </a:extLst>
          </xdr:cNvPr>
          <xdr:cNvSpPr txBox="1"/>
        </xdr:nvSpPr>
        <xdr:spPr>
          <a:xfrm>
            <a:off x="8435340" y="1219200"/>
            <a:ext cx="16611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E5085A-0858-40D5-B367-14BFD209E241}"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250</a:t>
            </a:fld>
            <a:endParaRPr lang="en-US" sz="1200">
              <a:latin typeface="Segoe UI Semibold" panose="020B0702040204020203" pitchFamily="34" charset="0"/>
              <a:cs typeface="Segoe UI Semibold" panose="020B0702040204020203" pitchFamily="34" charset="0"/>
            </a:endParaRPr>
          </a:p>
        </xdr:txBody>
      </xdr:sp>
      <xdr:pic>
        <xdr:nvPicPr>
          <xdr:cNvPr id="35" name="Graphic 34" descr="City">
            <a:extLst>
              <a:ext uri="{FF2B5EF4-FFF2-40B4-BE49-F238E27FC236}">
                <a16:creationId xmlns:a16="http://schemas.microsoft.com/office/drawing/2014/main" id="{6C5B54BD-9168-B26E-6F8B-81EC207D30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960" y="1051560"/>
            <a:ext cx="517740" cy="517740"/>
          </a:xfrm>
          <a:prstGeom prst="rect">
            <a:avLst/>
          </a:prstGeom>
        </xdr:spPr>
      </xdr:pic>
    </xdr:grpSp>
    <xdr:clientData/>
  </xdr:twoCellAnchor>
  <xdr:twoCellAnchor>
    <xdr:from>
      <xdr:col>4</xdr:col>
      <xdr:colOff>152400</xdr:colOff>
      <xdr:row>4</xdr:row>
      <xdr:rowOff>137160</xdr:rowOff>
    </xdr:from>
    <xdr:to>
      <xdr:col>8</xdr:col>
      <xdr:colOff>234000</xdr:colOff>
      <xdr:row>8</xdr:row>
      <xdr:rowOff>129540</xdr:rowOff>
    </xdr:to>
    <xdr:grpSp>
      <xdr:nvGrpSpPr>
        <xdr:cNvPr id="50" name="Group 49">
          <a:extLst>
            <a:ext uri="{FF2B5EF4-FFF2-40B4-BE49-F238E27FC236}">
              <a16:creationId xmlns:a16="http://schemas.microsoft.com/office/drawing/2014/main" id="{71760EB7-3C2D-56F8-B5D7-8BD2C2747344}"/>
            </a:ext>
          </a:extLst>
        </xdr:cNvPr>
        <xdr:cNvGrpSpPr/>
      </xdr:nvGrpSpPr>
      <xdr:grpSpPr>
        <a:xfrm>
          <a:off x="2590800" y="882227"/>
          <a:ext cx="2520000" cy="737446"/>
          <a:chOff x="2606040" y="853440"/>
          <a:chExt cx="2520000" cy="723900"/>
        </a:xfrm>
        <a:effectLst>
          <a:outerShdw blurRad="50800" dist="38100" dir="2700000" algn="tl"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4DB25BF7-28DA-481B-9E4A-8EC60A106C76}"/>
              </a:ext>
            </a:extLst>
          </xdr:cNvPr>
          <xdr:cNvSpPr/>
        </xdr:nvSpPr>
        <xdr:spPr>
          <a:xfrm>
            <a:off x="2606040" y="853440"/>
            <a:ext cx="2520000"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D1AB3D3B-789B-4E88-AB4F-61B86FB79955}"/>
              </a:ext>
            </a:extLst>
          </xdr:cNvPr>
          <xdr:cNvSpPr/>
        </xdr:nvSpPr>
        <xdr:spPr>
          <a:xfrm>
            <a:off x="2613660" y="853440"/>
            <a:ext cx="586740" cy="72390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CA8B7F29-1434-8EDC-4A25-82A71CF3D5A4}"/>
              </a:ext>
            </a:extLst>
          </xdr:cNvPr>
          <xdr:cNvSpPr txBox="1"/>
        </xdr:nvSpPr>
        <xdr:spPr>
          <a:xfrm>
            <a:off x="3291840" y="914400"/>
            <a:ext cx="162306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NET PROFIT</a:t>
            </a:r>
          </a:p>
        </xdr:txBody>
      </xdr:sp>
      <xdr:sp macro="" textlink="Properties!N8">
        <xdr:nvSpPr>
          <xdr:cNvPr id="24" name="TextBox 23">
            <a:extLst>
              <a:ext uri="{FF2B5EF4-FFF2-40B4-BE49-F238E27FC236}">
                <a16:creationId xmlns:a16="http://schemas.microsoft.com/office/drawing/2014/main" id="{8BD177A2-4C25-2548-648F-DD10FB0A609D}"/>
              </a:ext>
            </a:extLst>
          </xdr:cNvPr>
          <xdr:cNvSpPr txBox="1"/>
        </xdr:nvSpPr>
        <xdr:spPr>
          <a:xfrm>
            <a:off x="3291840" y="1234440"/>
            <a:ext cx="167640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D80F08-C8E7-4E74-B649-BA4B6255CBC0}"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 56,40,928</a:t>
            </a:fld>
            <a:endParaRPr lang="en-US" sz="1200">
              <a:latin typeface="Segoe UI Semibold" panose="020B0702040204020203" pitchFamily="34" charset="0"/>
              <a:cs typeface="Segoe UI Semibold" panose="020B0702040204020203" pitchFamily="34" charset="0"/>
            </a:endParaRPr>
          </a:p>
        </xdr:txBody>
      </xdr:sp>
      <xdr:pic>
        <xdr:nvPicPr>
          <xdr:cNvPr id="37" name="Graphic 36" descr="Coins">
            <a:extLst>
              <a:ext uri="{FF2B5EF4-FFF2-40B4-BE49-F238E27FC236}">
                <a16:creationId xmlns:a16="http://schemas.microsoft.com/office/drawing/2014/main" id="{E8CAE9D0-D352-AA67-704B-050BED027A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39340" y="1057980"/>
            <a:ext cx="515340" cy="515340"/>
          </a:xfrm>
          <a:prstGeom prst="rect">
            <a:avLst/>
          </a:prstGeom>
        </xdr:spPr>
      </xdr:pic>
    </xdr:grpSp>
    <xdr:clientData/>
  </xdr:twoCellAnchor>
  <xdr:twoCellAnchor>
    <xdr:from>
      <xdr:col>0</xdr:col>
      <xdr:colOff>0</xdr:colOff>
      <xdr:row>4</xdr:row>
      <xdr:rowOff>114300</xdr:rowOff>
    </xdr:from>
    <xdr:to>
      <xdr:col>4</xdr:col>
      <xdr:colOff>81600</xdr:colOff>
      <xdr:row>8</xdr:row>
      <xdr:rowOff>114300</xdr:rowOff>
    </xdr:to>
    <xdr:grpSp>
      <xdr:nvGrpSpPr>
        <xdr:cNvPr id="48" name="Group 47">
          <a:extLst>
            <a:ext uri="{FF2B5EF4-FFF2-40B4-BE49-F238E27FC236}">
              <a16:creationId xmlns:a16="http://schemas.microsoft.com/office/drawing/2014/main" id="{EE0A1F03-5FB1-017E-9DC5-534080737196}"/>
            </a:ext>
          </a:extLst>
        </xdr:cNvPr>
        <xdr:cNvGrpSpPr/>
      </xdr:nvGrpSpPr>
      <xdr:grpSpPr>
        <a:xfrm>
          <a:off x="0" y="859367"/>
          <a:ext cx="2520000" cy="745066"/>
          <a:chOff x="15240" y="838200"/>
          <a:chExt cx="2520000" cy="73152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30D58389-A74F-278B-33F0-D702CA3E37AE}"/>
              </a:ext>
            </a:extLst>
          </xdr:cNvPr>
          <xdr:cNvSpPr/>
        </xdr:nvSpPr>
        <xdr:spPr>
          <a:xfrm>
            <a:off x="15240" y="845820"/>
            <a:ext cx="2520000"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834972F0-8FA5-3451-AA90-8E5326B726D7}"/>
              </a:ext>
            </a:extLst>
          </xdr:cNvPr>
          <xdr:cNvSpPr/>
        </xdr:nvSpPr>
        <xdr:spPr>
          <a:xfrm>
            <a:off x="22860" y="838200"/>
            <a:ext cx="586740" cy="72390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6CCA4E8A-6098-F80D-FCDC-858F5285ECCB}"/>
              </a:ext>
            </a:extLst>
          </xdr:cNvPr>
          <xdr:cNvSpPr txBox="1"/>
        </xdr:nvSpPr>
        <xdr:spPr>
          <a:xfrm>
            <a:off x="632460" y="876300"/>
            <a:ext cx="18211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TOTAL RENT COLLECTED</a:t>
            </a:r>
          </a:p>
        </xdr:txBody>
      </xdr:sp>
      <xdr:sp macro="" textlink="Tenants!N2">
        <xdr:nvSpPr>
          <xdr:cNvPr id="18" name="TextBox 17">
            <a:extLst>
              <a:ext uri="{FF2B5EF4-FFF2-40B4-BE49-F238E27FC236}">
                <a16:creationId xmlns:a16="http://schemas.microsoft.com/office/drawing/2014/main" id="{AF614AC1-10C8-C718-D013-31215B96CFD6}"/>
              </a:ext>
            </a:extLst>
          </xdr:cNvPr>
          <xdr:cNvSpPr txBox="1"/>
        </xdr:nvSpPr>
        <xdr:spPr>
          <a:xfrm>
            <a:off x="708660" y="1181100"/>
            <a:ext cx="16383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DF7E86-4E45-40FA-B4E7-305F8DA918DB}" type="TxLink">
              <a:rPr lang="en-US" sz="1200" b="1" i="0" u="none" strike="noStrike">
                <a:solidFill>
                  <a:schemeClr val="tx1"/>
                </a:solidFill>
                <a:latin typeface="Segoe UI Semibold" panose="020B0702040204020203" pitchFamily="34" charset="0"/>
                <a:ea typeface="Calibri"/>
                <a:cs typeface="Segoe UI Semibold" panose="020B0702040204020203" pitchFamily="34" charset="0"/>
              </a:rPr>
              <a:pPr algn="ctr"/>
              <a:t>8351774</a:t>
            </a:fld>
            <a:endParaRPr lang="en-US" sz="1200" b="1">
              <a:solidFill>
                <a:schemeClr val="tx1"/>
              </a:solidFill>
              <a:latin typeface="Segoe UI Semibold" panose="020B0702040204020203" pitchFamily="34" charset="0"/>
              <a:cs typeface="Segoe UI Semibold" panose="020B0702040204020203" pitchFamily="34" charset="0"/>
            </a:endParaRPr>
          </a:p>
        </xdr:txBody>
      </xdr:sp>
      <xdr:pic>
        <xdr:nvPicPr>
          <xdr:cNvPr id="39" name="Graphic 38" descr="Piggy Bank">
            <a:extLst>
              <a:ext uri="{FF2B5EF4-FFF2-40B4-BE49-F238E27FC236}">
                <a16:creationId xmlns:a16="http://schemas.microsoft.com/office/drawing/2014/main" id="{7C6E8968-1B3E-DF78-A787-A6BCBEA4AB2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240" y="1059600"/>
            <a:ext cx="510120" cy="510120"/>
          </a:xfrm>
          <a:prstGeom prst="rect">
            <a:avLst/>
          </a:prstGeom>
        </xdr:spPr>
      </xdr:pic>
    </xdr:grpSp>
    <xdr:clientData/>
  </xdr:twoCellAnchor>
  <xdr:twoCellAnchor>
    <xdr:from>
      <xdr:col>8</xdr:col>
      <xdr:colOff>289560</xdr:colOff>
      <xdr:row>4</xdr:row>
      <xdr:rowOff>114300</xdr:rowOff>
    </xdr:from>
    <xdr:to>
      <xdr:col>12</xdr:col>
      <xdr:colOff>371160</xdr:colOff>
      <xdr:row>8</xdr:row>
      <xdr:rowOff>114300</xdr:rowOff>
    </xdr:to>
    <xdr:grpSp>
      <xdr:nvGrpSpPr>
        <xdr:cNvPr id="51" name="Group 50">
          <a:extLst>
            <a:ext uri="{FF2B5EF4-FFF2-40B4-BE49-F238E27FC236}">
              <a16:creationId xmlns:a16="http://schemas.microsoft.com/office/drawing/2014/main" id="{A01905F6-639B-32ED-E678-776ABAF6ABAB}"/>
            </a:ext>
          </a:extLst>
        </xdr:cNvPr>
        <xdr:cNvGrpSpPr/>
      </xdr:nvGrpSpPr>
      <xdr:grpSpPr>
        <a:xfrm>
          <a:off x="5166360" y="859367"/>
          <a:ext cx="2520000" cy="745066"/>
          <a:chOff x="5204460" y="845820"/>
          <a:chExt cx="2520000" cy="731520"/>
        </a:xfrm>
        <a:effectLst>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3E2F0778-7141-49FE-929B-E0BE06D032E4}"/>
              </a:ext>
            </a:extLst>
          </xdr:cNvPr>
          <xdr:cNvSpPr/>
        </xdr:nvSpPr>
        <xdr:spPr>
          <a:xfrm>
            <a:off x="5204460" y="845820"/>
            <a:ext cx="2520000"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BFEB7E04-59F6-4954-8B7B-821B6EA98993}"/>
              </a:ext>
            </a:extLst>
          </xdr:cNvPr>
          <xdr:cNvSpPr/>
        </xdr:nvSpPr>
        <xdr:spPr>
          <a:xfrm>
            <a:off x="5212080" y="853440"/>
            <a:ext cx="586740" cy="72390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58C63524-EA9C-D3B5-2F61-CCDB908F4C38}"/>
              </a:ext>
            </a:extLst>
          </xdr:cNvPr>
          <xdr:cNvSpPr txBox="1"/>
        </xdr:nvSpPr>
        <xdr:spPr>
          <a:xfrm>
            <a:off x="5890260" y="906780"/>
            <a:ext cx="16535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TOTAL EXPENSES</a:t>
            </a:r>
          </a:p>
        </xdr:txBody>
      </xdr:sp>
      <xdr:sp macro="" textlink="Properties!N5">
        <xdr:nvSpPr>
          <xdr:cNvPr id="26" name="TextBox 25">
            <a:extLst>
              <a:ext uri="{FF2B5EF4-FFF2-40B4-BE49-F238E27FC236}">
                <a16:creationId xmlns:a16="http://schemas.microsoft.com/office/drawing/2014/main" id="{21148516-9806-7D15-4313-CBDC319B2E7A}"/>
              </a:ext>
            </a:extLst>
          </xdr:cNvPr>
          <xdr:cNvSpPr txBox="1"/>
        </xdr:nvSpPr>
        <xdr:spPr>
          <a:xfrm>
            <a:off x="5913120" y="1234440"/>
            <a:ext cx="163068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94BAF7-0EC7-497F-AEAA-2C99E6DE6F1F}"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2710846</a:t>
            </a:fld>
            <a:endParaRPr lang="en-US" sz="1200">
              <a:latin typeface="Segoe UI Semibold" panose="020B0702040204020203" pitchFamily="34" charset="0"/>
              <a:cs typeface="Segoe UI Semibold" panose="020B0702040204020203" pitchFamily="34" charset="0"/>
            </a:endParaRPr>
          </a:p>
        </xdr:txBody>
      </xdr:sp>
      <xdr:pic>
        <xdr:nvPicPr>
          <xdr:cNvPr id="43" name="Graphic 42" descr="Bar graph with downward trend">
            <a:extLst>
              <a:ext uri="{FF2B5EF4-FFF2-40B4-BE49-F238E27FC236}">
                <a16:creationId xmlns:a16="http://schemas.microsoft.com/office/drawing/2014/main" id="{06D287A7-2B39-B3DD-5E61-EE8EF56868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73040" y="1051560"/>
            <a:ext cx="487680" cy="487680"/>
          </a:xfrm>
          <a:prstGeom prst="rect">
            <a:avLst/>
          </a:prstGeom>
        </xdr:spPr>
      </xdr:pic>
    </xdr:grpSp>
    <xdr:clientData/>
  </xdr:twoCellAnchor>
  <xdr:twoCellAnchor>
    <xdr:from>
      <xdr:col>16</xdr:col>
      <xdr:colOff>579120</xdr:colOff>
      <xdr:row>4</xdr:row>
      <xdr:rowOff>121920</xdr:rowOff>
    </xdr:from>
    <xdr:to>
      <xdr:col>21</xdr:col>
      <xdr:colOff>51120</xdr:colOff>
      <xdr:row>8</xdr:row>
      <xdr:rowOff>121920</xdr:rowOff>
    </xdr:to>
    <xdr:grpSp>
      <xdr:nvGrpSpPr>
        <xdr:cNvPr id="53" name="Group 52">
          <a:extLst>
            <a:ext uri="{FF2B5EF4-FFF2-40B4-BE49-F238E27FC236}">
              <a16:creationId xmlns:a16="http://schemas.microsoft.com/office/drawing/2014/main" id="{507A1B11-83DC-FA6E-C954-95B07B0CA0A5}"/>
            </a:ext>
          </a:extLst>
        </xdr:cNvPr>
        <xdr:cNvGrpSpPr/>
      </xdr:nvGrpSpPr>
      <xdr:grpSpPr>
        <a:xfrm>
          <a:off x="10332720" y="866987"/>
          <a:ext cx="2520000" cy="745066"/>
          <a:chOff x="10386060" y="853440"/>
          <a:chExt cx="2520000" cy="73152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8F16C5C6-B3C9-40CC-83F1-0AC417F7E611}"/>
              </a:ext>
            </a:extLst>
          </xdr:cNvPr>
          <xdr:cNvSpPr/>
        </xdr:nvSpPr>
        <xdr:spPr>
          <a:xfrm>
            <a:off x="10386060" y="853440"/>
            <a:ext cx="2520000" cy="723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A787088C-0601-4D8D-97E3-8B9F03EACBFD}"/>
              </a:ext>
            </a:extLst>
          </xdr:cNvPr>
          <xdr:cNvSpPr/>
        </xdr:nvSpPr>
        <xdr:spPr>
          <a:xfrm>
            <a:off x="10393680" y="861060"/>
            <a:ext cx="586740" cy="72390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C3869C9F-CF8F-E58F-C7EF-A718AECDDA70}"/>
              </a:ext>
            </a:extLst>
          </xdr:cNvPr>
          <xdr:cNvSpPr txBox="1"/>
        </xdr:nvSpPr>
        <xdr:spPr>
          <a:xfrm>
            <a:off x="11102340" y="880110"/>
            <a:ext cx="140208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ACTIVE TENANT</a:t>
            </a:r>
          </a:p>
        </xdr:txBody>
      </xdr:sp>
      <xdr:sp macro="" textlink="Tenants!N5">
        <xdr:nvSpPr>
          <xdr:cNvPr id="31" name="TextBox 30">
            <a:extLst>
              <a:ext uri="{FF2B5EF4-FFF2-40B4-BE49-F238E27FC236}">
                <a16:creationId xmlns:a16="http://schemas.microsoft.com/office/drawing/2014/main" id="{9C0BC291-E815-0C7D-00BE-17E197D200A9}"/>
              </a:ext>
            </a:extLst>
          </xdr:cNvPr>
          <xdr:cNvSpPr txBox="1"/>
        </xdr:nvSpPr>
        <xdr:spPr>
          <a:xfrm>
            <a:off x="11056620" y="1242060"/>
            <a:ext cx="154686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3E9589-5343-4A03-85DF-7A12E5A9E1DC}" type="TxLink">
              <a:rPr lang="en-US" sz="1200" b="0" i="0" u="none" strike="noStrike">
                <a:solidFill>
                  <a:srgbClr val="000000"/>
                </a:solidFill>
                <a:latin typeface="Segoe UI Semibold" panose="020B0702040204020203" pitchFamily="34" charset="0"/>
                <a:ea typeface="Calibri"/>
                <a:cs typeface="Segoe UI Semibold" panose="020B0702040204020203" pitchFamily="34" charset="0"/>
              </a:rPr>
              <a:pPr algn="ctr"/>
              <a:t>131</a:t>
            </a:fld>
            <a:endParaRPr lang="en-IN" sz="1200">
              <a:latin typeface="Segoe UI Semibold" panose="020B0702040204020203" pitchFamily="34" charset="0"/>
              <a:cs typeface="Segoe UI Semibold" panose="020B0702040204020203" pitchFamily="34" charset="0"/>
            </a:endParaRPr>
          </a:p>
        </xdr:txBody>
      </xdr:sp>
      <xdr:pic>
        <xdr:nvPicPr>
          <xdr:cNvPr id="45" name="Graphic 44" descr="Man and woman">
            <a:extLst>
              <a:ext uri="{FF2B5EF4-FFF2-40B4-BE49-F238E27FC236}">
                <a16:creationId xmlns:a16="http://schemas.microsoft.com/office/drawing/2014/main" id="{3F6A8A96-D9AC-1E14-A707-95183ED0E68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416540" y="1036320"/>
            <a:ext cx="518160" cy="518160"/>
          </a:xfrm>
          <a:prstGeom prst="rect">
            <a:avLst/>
          </a:prstGeom>
        </xdr:spPr>
      </xdr:pic>
    </xdr:grpSp>
    <xdr:clientData/>
  </xdr:twoCellAnchor>
  <xdr:twoCellAnchor>
    <xdr:from>
      <xdr:col>0</xdr:col>
      <xdr:colOff>47371</xdr:colOff>
      <xdr:row>9</xdr:row>
      <xdr:rowOff>57229</xdr:rowOff>
    </xdr:from>
    <xdr:to>
      <xdr:col>12</xdr:col>
      <xdr:colOff>345528</xdr:colOff>
      <xdr:row>23</xdr:row>
      <xdr:rowOff>166248</xdr:rowOff>
    </xdr:to>
    <xdr:grpSp>
      <xdr:nvGrpSpPr>
        <xdr:cNvPr id="70" name="Group 69">
          <a:extLst>
            <a:ext uri="{FF2B5EF4-FFF2-40B4-BE49-F238E27FC236}">
              <a16:creationId xmlns:a16="http://schemas.microsoft.com/office/drawing/2014/main" id="{26D56DAE-F9D2-BA3E-3C57-FB18FA07AFA0}"/>
            </a:ext>
          </a:extLst>
        </xdr:cNvPr>
        <xdr:cNvGrpSpPr/>
      </xdr:nvGrpSpPr>
      <xdr:grpSpPr>
        <a:xfrm>
          <a:off x="47371" y="1733629"/>
          <a:ext cx="7613357" cy="2716752"/>
          <a:chOff x="0" y="1721499"/>
          <a:chExt cx="7568308" cy="2706344"/>
        </a:xfrm>
        <a:effectLst>
          <a:outerShdw blurRad="50800" dist="38100" dir="2700000" algn="tl"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F328D963-B54F-45CB-216A-3A3F6E310DBA}"/>
              </a:ext>
            </a:extLst>
          </xdr:cNvPr>
          <xdr:cNvSpPr/>
        </xdr:nvSpPr>
        <xdr:spPr>
          <a:xfrm>
            <a:off x="0" y="1721499"/>
            <a:ext cx="7568308" cy="270634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457760C3-EBFF-EA80-7378-70210FA770F7}"/>
              </a:ext>
            </a:extLst>
          </xdr:cNvPr>
          <xdr:cNvSpPr txBox="1"/>
        </xdr:nvSpPr>
        <xdr:spPr>
          <a:xfrm>
            <a:off x="358140" y="1800672"/>
            <a:ext cx="2952262" cy="231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latin typeface="Segoe UI Semibold" panose="020B0702040204020203" pitchFamily="34" charset="0"/>
                <a:cs typeface="Segoe UI Semibold" panose="020B0702040204020203" pitchFamily="34" charset="0"/>
              </a:rPr>
              <a:t>MONTHLY SALES TREND</a:t>
            </a:r>
          </a:p>
          <a:p>
            <a:pPr algn="ctr"/>
            <a:endParaRPr lang="en-IN" sz="1200">
              <a:latin typeface="Segoe UI Semibold" panose="020B0702040204020203" pitchFamily="34" charset="0"/>
              <a:cs typeface="Segoe UI Semibold" panose="020B0702040204020203" pitchFamily="34" charset="0"/>
            </a:endParaRPr>
          </a:p>
        </xdr:txBody>
      </xdr:sp>
      <xdr:graphicFrame macro="">
        <xdr:nvGraphicFramePr>
          <xdr:cNvPr id="66" name="Chart 65">
            <a:extLst>
              <a:ext uri="{FF2B5EF4-FFF2-40B4-BE49-F238E27FC236}">
                <a16:creationId xmlns:a16="http://schemas.microsoft.com/office/drawing/2014/main" id="{0DD66CD3-CC90-4512-A5BD-5BEA6784CCE7}"/>
              </a:ext>
            </a:extLst>
          </xdr:cNvPr>
          <xdr:cNvGraphicFramePr>
            <a:graphicFrameLocks/>
          </xdr:cNvGraphicFramePr>
        </xdr:nvGraphicFramePr>
        <xdr:xfrm>
          <a:off x="237067" y="2013317"/>
          <a:ext cx="7070318" cy="236790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12</xdr:col>
      <xdr:colOff>452200</xdr:colOff>
      <xdr:row>9</xdr:row>
      <xdr:rowOff>41147</xdr:rowOff>
    </xdr:from>
    <xdr:to>
      <xdr:col>21</xdr:col>
      <xdr:colOff>122028</xdr:colOff>
      <xdr:row>23</xdr:row>
      <xdr:rowOff>158915</xdr:rowOff>
    </xdr:to>
    <xdr:grpSp>
      <xdr:nvGrpSpPr>
        <xdr:cNvPr id="71" name="Group 70">
          <a:extLst>
            <a:ext uri="{FF2B5EF4-FFF2-40B4-BE49-F238E27FC236}">
              <a16:creationId xmlns:a16="http://schemas.microsoft.com/office/drawing/2014/main" id="{BA44C5B3-79EB-D572-7376-9A365D76C8FC}"/>
            </a:ext>
          </a:extLst>
        </xdr:cNvPr>
        <xdr:cNvGrpSpPr/>
      </xdr:nvGrpSpPr>
      <xdr:grpSpPr>
        <a:xfrm>
          <a:off x="7767400" y="1717547"/>
          <a:ext cx="5156228" cy="2725501"/>
          <a:chOff x="7617223" y="1685531"/>
          <a:chExt cx="5119215" cy="2715093"/>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844C25D0-5B79-576E-3D4D-0F626945B3DE}"/>
              </a:ext>
            </a:extLst>
          </xdr:cNvPr>
          <xdr:cNvSpPr/>
        </xdr:nvSpPr>
        <xdr:spPr>
          <a:xfrm>
            <a:off x="7617223" y="1685531"/>
            <a:ext cx="5119215" cy="27150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BF11BD37-9787-CC35-3F81-DC3DF399B036}"/>
              </a:ext>
            </a:extLst>
          </xdr:cNvPr>
          <xdr:cNvSpPr txBox="1"/>
        </xdr:nvSpPr>
        <xdr:spPr>
          <a:xfrm>
            <a:off x="7991297" y="1761164"/>
            <a:ext cx="1457196" cy="358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Segoe UI Semibold" panose="020B0702040204020203" pitchFamily="34" charset="0"/>
                <a:cs typeface="Segoe UI Semibold" panose="020B0702040204020203" pitchFamily="34" charset="0"/>
              </a:rPr>
              <a:t>CITY-WISE SALES </a:t>
            </a:r>
          </a:p>
          <a:p>
            <a:endParaRPr lang="en-IN" sz="1200">
              <a:latin typeface="Segoe UI Semibold" panose="020B0702040204020203" pitchFamily="34" charset="0"/>
              <a:cs typeface="Segoe UI Semibold" panose="020B0702040204020203" pitchFamily="34" charset="0"/>
            </a:endParaRPr>
          </a:p>
        </xdr:txBody>
      </xdr:sp>
      <xdr:graphicFrame macro="">
        <xdr:nvGraphicFramePr>
          <xdr:cNvPr id="67" name="Chart 66">
            <a:extLst>
              <a:ext uri="{FF2B5EF4-FFF2-40B4-BE49-F238E27FC236}">
                <a16:creationId xmlns:a16="http://schemas.microsoft.com/office/drawing/2014/main" id="{C21A0DBE-233E-4E78-8F10-72C8C4B11F03}"/>
              </a:ext>
            </a:extLst>
          </xdr:cNvPr>
          <xdr:cNvGraphicFramePr>
            <a:graphicFrameLocks/>
          </xdr:cNvGraphicFramePr>
        </xdr:nvGraphicFramePr>
        <xdr:xfrm>
          <a:off x="7687024" y="1840367"/>
          <a:ext cx="4757615" cy="2510691"/>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0</xdr:colOff>
      <xdr:row>24</xdr:row>
      <xdr:rowOff>73641</xdr:rowOff>
    </xdr:from>
    <xdr:to>
      <xdr:col>5</xdr:col>
      <xdr:colOff>259080</xdr:colOff>
      <xdr:row>38</xdr:row>
      <xdr:rowOff>81261</xdr:rowOff>
    </xdr:to>
    <xdr:grpSp>
      <xdr:nvGrpSpPr>
        <xdr:cNvPr id="73" name="Group 72">
          <a:extLst>
            <a:ext uri="{FF2B5EF4-FFF2-40B4-BE49-F238E27FC236}">
              <a16:creationId xmlns:a16="http://schemas.microsoft.com/office/drawing/2014/main" id="{CC8C9627-DB8C-DBE6-F9F1-2BF0EF66B16A}"/>
            </a:ext>
          </a:extLst>
        </xdr:cNvPr>
        <xdr:cNvGrpSpPr/>
      </xdr:nvGrpSpPr>
      <xdr:grpSpPr>
        <a:xfrm>
          <a:off x="0" y="4544041"/>
          <a:ext cx="3307080" cy="2615353"/>
          <a:chOff x="0" y="4495047"/>
          <a:chExt cx="3287542" cy="2606236"/>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B3E16617-5E2C-8966-99C3-A973F91BE52B}"/>
              </a:ext>
            </a:extLst>
          </xdr:cNvPr>
          <xdr:cNvSpPr/>
        </xdr:nvSpPr>
        <xdr:spPr>
          <a:xfrm>
            <a:off x="0" y="4495047"/>
            <a:ext cx="3287542" cy="26062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2BCAC31D-B75E-A2DD-FF0D-9D323E48DF79}"/>
              </a:ext>
            </a:extLst>
          </xdr:cNvPr>
          <xdr:cNvSpPr txBox="1"/>
        </xdr:nvSpPr>
        <xdr:spPr>
          <a:xfrm>
            <a:off x="312420" y="4550564"/>
            <a:ext cx="1809457" cy="254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Segoe UI Semibold" panose="020B0702040204020203" pitchFamily="34" charset="0"/>
                <a:cs typeface="Segoe UI Semibold" panose="020B0702040204020203" pitchFamily="34" charset="0"/>
              </a:rPr>
              <a:t>PROPERTIES BY TYPE</a:t>
            </a:r>
          </a:p>
          <a:p>
            <a:endParaRPr lang="en-IN" sz="1200">
              <a:latin typeface="Segoe UI Semibold" panose="020B0702040204020203" pitchFamily="34" charset="0"/>
              <a:cs typeface="Segoe UI Semibold" panose="020B0702040204020203" pitchFamily="34" charset="0"/>
            </a:endParaRPr>
          </a:p>
        </xdr:txBody>
      </xdr:sp>
      <xdr:graphicFrame macro="">
        <xdr:nvGraphicFramePr>
          <xdr:cNvPr id="72" name="Chart 71">
            <a:extLst>
              <a:ext uri="{FF2B5EF4-FFF2-40B4-BE49-F238E27FC236}">
                <a16:creationId xmlns:a16="http://schemas.microsoft.com/office/drawing/2014/main" id="{6A78273F-ABC0-4BFC-BE39-38367AC19376}"/>
              </a:ext>
            </a:extLst>
          </xdr:cNvPr>
          <xdr:cNvGraphicFramePr>
            <a:graphicFrameLocks/>
          </xdr:cNvGraphicFramePr>
        </xdr:nvGraphicFramePr>
        <xdr:xfrm>
          <a:off x="19538" y="4806461"/>
          <a:ext cx="3223847" cy="2061308"/>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5</xdr:col>
      <xdr:colOff>343326</xdr:colOff>
      <xdr:row>24</xdr:row>
      <xdr:rowOff>98227</xdr:rowOff>
    </xdr:from>
    <xdr:to>
      <xdr:col>14</xdr:col>
      <xdr:colOff>546340</xdr:colOff>
      <xdr:row>38</xdr:row>
      <xdr:rowOff>85953</xdr:rowOff>
    </xdr:to>
    <xdr:grpSp>
      <xdr:nvGrpSpPr>
        <xdr:cNvPr id="78" name="Group 77">
          <a:extLst>
            <a:ext uri="{FF2B5EF4-FFF2-40B4-BE49-F238E27FC236}">
              <a16:creationId xmlns:a16="http://schemas.microsoft.com/office/drawing/2014/main" id="{CAA623C3-FFCD-5AB9-8D03-B86D060C2378}"/>
            </a:ext>
          </a:extLst>
        </xdr:cNvPr>
        <xdr:cNvGrpSpPr/>
      </xdr:nvGrpSpPr>
      <xdr:grpSpPr>
        <a:xfrm>
          <a:off x="3391326" y="4568627"/>
          <a:ext cx="5689414" cy="2595459"/>
          <a:chOff x="3391879" y="4417333"/>
          <a:chExt cx="5523628" cy="2586342"/>
        </a:xfrm>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807E2090-B34F-46A0-BA69-6EEE01A9A27B}"/>
              </a:ext>
            </a:extLst>
          </xdr:cNvPr>
          <xdr:cNvSpPr/>
        </xdr:nvSpPr>
        <xdr:spPr>
          <a:xfrm>
            <a:off x="3391879" y="4417333"/>
            <a:ext cx="5523628" cy="258634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sp macro="" textlink="">
        <xdr:nvSpPr>
          <xdr:cNvPr id="41" name="TextBox 40">
            <a:extLst>
              <a:ext uri="{FF2B5EF4-FFF2-40B4-BE49-F238E27FC236}">
                <a16:creationId xmlns:a16="http://schemas.microsoft.com/office/drawing/2014/main" id="{00934D91-4CA8-F9F1-7C10-DF3C79AD42C4}"/>
              </a:ext>
            </a:extLst>
          </xdr:cNvPr>
          <xdr:cNvSpPr txBox="1"/>
        </xdr:nvSpPr>
        <xdr:spPr>
          <a:xfrm>
            <a:off x="3671165" y="4484078"/>
            <a:ext cx="1992337" cy="366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latin typeface="Segoe UI Semibold" panose="020B0702040204020203" pitchFamily="34" charset="0"/>
                <a:cs typeface="Segoe UI Semibold" panose="020B0702040204020203" pitchFamily="34" charset="0"/>
              </a:rPr>
              <a:t>EXPENSES BY CATEGORY</a:t>
            </a:r>
          </a:p>
          <a:p>
            <a:pPr algn="l"/>
            <a:endParaRPr lang="en-IN" sz="1200">
              <a:latin typeface="Segoe UI Semibold" panose="020B0702040204020203" pitchFamily="34" charset="0"/>
              <a:cs typeface="Segoe UI Semibold" panose="020B0702040204020203" pitchFamily="34" charset="0"/>
            </a:endParaRPr>
          </a:p>
        </xdr:txBody>
      </xdr:sp>
      <xdr:graphicFrame macro="">
        <xdr:nvGraphicFramePr>
          <xdr:cNvPr id="74" name="Chart 73">
            <a:extLst>
              <a:ext uri="{FF2B5EF4-FFF2-40B4-BE49-F238E27FC236}">
                <a16:creationId xmlns:a16="http://schemas.microsoft.com/office/drawing/2014/main" id="{3E83F8B3-E0F7-44B8-974C-4A397C6286B6}"/>
              </a:ext>
            </a:extLst>
          </xdr:cNvPr>
          <xdr:cNvGraphicFramePr>
            <a:graphicFrameLocks/>
          </xdr:cNvGraphicFramePr>
        </xdr:nvGraphicFramePr>
        <xdr:xfrm>
          <a:off x="3477846" y="4503618"/>
          <a:ext cx="5363307" cy="2432536"/>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15</xdr:col>
      <xdr:colOff>41736</xdr:colOff>
      <xdr:row>24</xdr:row>
      <xdr:rowOff>82703</xdr:rowOff>
    </xdr:from>
    <xdr:to>
      <xdr:col>21</xdr:col>
      <xdr:colOff>174988</xdr:colOff>
      <xdr:row>38</xdr:row>
      <xdr:rowOff>149954</xdr:rowOff>
    </xdr:to>
    <xdr:grpSp>
      <xdr:nvGrpSpPr>
        <xdr:cNvPr id="80" name="Group 79">
          <a:extLst>
            <a:ext uri="{FF2B5EF4-FFF2-40B4-BE49-F238E27FC236}">
              <a16:creationId xmlns:a16="http://schemas.microsoft.com/office/drawing/2014/main" id="{0F6F0061-540F-877E-79EA-C3A33FAA1AB1}"/>
            </a:ext>
          </a:extLst>
        </xdr:cNvPr>
        <xdr:cNvGrpSpPr/>
      </xdr:nvGrpSpPr>
      <xdr:grpSpPr>
        <a:xfrm>
          <a:off x="9185736" y="4553103"/>
          <a:ext cx="3790852" cy="2674984"/>
          <a:chOff x="8967211" y="4446542"/>
          <a:chExt cx="3767406" cy="2665457"/>
        </a:xfrm>
        <a:effectLst>
          <a:outerShdw blurRad="50800" dist="38100" dir="2700000" algn="tl" rotWithShape="0">
            <a:prstClr val="black">
              <a:alpha val="40000"/>
            </a:prstClr>
          </a:outerShdw>
        </a:effectLst>
      </xdr:grpSpPr>
      <xdr:sp macro="" textlink="">
        <xdr:nvSpPr>
          <xdr:cNvPr id="32" name="Rectangle: Rounded Corners 31">
            <a:extLst>
              <a:ext uri="{FF2B5EF4-FFF2-40B4-BE49-F238E27FC236}">
                <a16:creationId xmlns:a16="http://schemas.microsoft.com/office/drawing/2014/main" id="{DD370284-3C0F-4DF1-9A3F-B04203B63922}"/>
              </a:ext>
            </a:extLst>
          </xdr:cNvPr>
          <xdr:cNvSpPr/>
        </xdr:nvSpPr>
        <xdr:spPr>
          <a:xfrm>
            <a:off x="8967211" y="4446542"/>
            <a:ext cx="3767406" cy="260623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FCE7F93E-B0E8-C4E1-B516-D569DCE60114}"/>
              </a:ext>
            </a:extLst>
          </xdr:cNvPr>
          <xdr:cNvSpPr txBox="1"/>
        </xdr:nvSpPr>
        <xdr:spPr>
          <a:xfrm>
            <a:off x="9254897" y="4536496"/>
            <a:ext cx="2060917" cy="2699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Segoe UI Semibold" panose="020B0702040204020203" pitchFamily="34" charset="0"/>
                <a:cs typeface="Segoe UI Semibold" panose="020B0702040204020203" pitchFamily="34" charset="0"/>
              </a:rPr>
              <a:t>PAYMENTS BY METHOD</a:t>
            </a:r>
          </a:p>
          <a:p>
            <a:endParaRPr lang="en-IN" sz="1200">
              <a:latin typeface="Segoe UI Semibold" panose="020B0702040204020203" pitchFamily="34" charset="0"/>
              <a:cs typeface="Segoe UI Semibold" panose="020B0702040204020203" pitchFamily="34" charset="0"/>
            </a:endParaRPr>
          </a:p>
        </xdr:txBody>
      </xdr:sp>
      <xdr:graphicFrame macro="">
        <xdr:nvGraphicFramePr>
          <xdr:cNvPr id="79" name="Chart 78">
            <a:extLst>
              <a:ext uri="{FF2B5EF4-FFF2-40B4-BE49-F238E27FC236}">
                <a16:creationId xmlns:a16="http://schemas.microsoft.com/office/drawing/2014/main" id="{3042A3BD-D459-4BC9-B024-63867CB576F6}"/>
              </a:ext>
            </a:extLst>
          </xdr:cNvPr>
          <xdr:cNvGraphicFramePr>
            <a:graphicFrameLocks/>
          </xdr:cNvGraphicFramePr>
        </xdr:nvGraphicFramePr>
        <xdr:xfrm>
          <a:off x="9319846" y="5031154"/>
          <a:ext cx="3048000" cy="2080845"/>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editAs="oneCell">
    <xdr:from>
      <xdr:col>21</xdr:col>
      <xdr:colOff>174473</xdr:colOff>
      <xdr:row>6</xdr:row>
      <xdr:rowOff>180309</xdr:rowOff>
    </xdr:from>
    <xdr:to>
      <xdr:col>24</xdr:col>
      <xdr:colOff>186196</xdr:colOff>
      <xdr:row>16</xdr:row>
      <xdr:rowOff>50021</xdr:rowOff>
    </xdr:to>
    <mc:AlternateContent xmlns:mc="http://schemas.openxmlformats.org/markup-compatibility/2006" xmlns:a14="http://schemas.microsoft.com/office/drawing/2010/main">
      <mc:Choice Requires="a14">
        <xdr:graphicFrame macro="">
          <xdr:nvGraphicFramePr>
            <xdr:cNvPr id="81" name="City 1">
              <a:extLst>
                <a:ext uri="{FF2B5EF4-FFF2-40B4-BE49-F238E27FC236}">
                  <a16:creationId xmlns:a16="http://schemas.microsoft.com/office/drawing/2014/main" id="{4AEA0353-DD37-4021-A6E0-35562E6EDE8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976073" y="1266159"/>
              <a:ext cx="1840523" cy="1679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172528</xdr:colOff>
      <xdr:row>0</xdr:row>
      <xdr:rowOff>43131</xdr:rowOff>
    </xdr:from>
    <xdr:to>
      <xdr:col>24</xdr:col>
      <xdr:colOff>184251</xdr:colOff>
      <xdr:row>6</xdr:row>
      <xdr:rowOff>161924</xdr:rowOff>
    </xdr:to>
    <mc:AlternateContent xmlns:mc="http://schemas.openxmlformats.org/markup-compatibility/2006" xmlns:a14="http://schemas.microsoft.com/office/drawing/2010/main">
      <mc:Choice Requires="a14">
        <xdr:graphicFrame macro="">
          <xdr:nvGraphicFramePr>
            <xdr:cNvPr id="82" name="Property_Type 1">
              <a:extLst>
                <a:ext uri="{FF2B5EF4-FFF2-40B4-BE49-F238E27FC236}">
                  <a16:creationId xmlns:a16="http://schemas.microsoft.com/office/drawing/2014/main" id="{03FF3141-FA22-483D-9CA5-B4A72E01BCD9}"/>
                </a:ext>
              </a:extLst>
            </xdr:cNvPr>
            <xdr:cNvGraphicFramePr/>
          </xdr:nvGraphicFramePr>
          <xdr:xfrm>
            <a:off x="0" y="0"/>
            <a:ext cx="0" cy="0"/>
          </xdr:xfrm>
          <a:graphic>
            <a:graphicData uri="http://schemas.microsoft.com/office/drawing/2010/slicer">
              <sle:slicer xmlns:sle="http://schemas.microsoft.com/office/drawing/2010/slicer" name="Property_Type 1"/>
            </a:graphicData>
          </a:graphic>
        </xdr:graphicFrame>
      </mc:Choice>
      <mc:Fallback xmlns="">
        <xdr:sp macro="" textlink="">
          <xdr:nvSpPr>
            <xdr:cNvPr id="0" name=""/>
            <xdr:cNvSpPr>
              <a:spLocks noTextEdit="1"/>
            </xdr:cNvSpPr>
          </xdr:nvSpPr>
          <xdr:spPr>
            <a:xfrm>
              <a:off x="12974128" y="43132"/>
              <a:ext cx="1840523" cy="1175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182232</xdr:colOff>
      <xdr:row>33</xdr:row>
      <xdr:rowOff>166778</xdr:rowOff>
    </xdr:from>
    <xdr:to>
      <xdr:col>24</xdr:col>
      <xdr:colOff>193956</xdr:colOff>
      <xdr:row>40</xdr:row>
      <xdr:rowOff>80282</xdr:rowOff>
    </xdr:to>
    <mc:AlternateContent xmlns:mc="http://schemas.openxmlformats.org/markup-compatibility/2006" xmlns:a14="http://schemas.microsoft.com/office/drawing/2010/main">
      <mc:Choice Requires="a14">
        <xdr:graphicFrame macro="">
          <xdr:nvGraphicFramePr>
            <xdr:cNvPr id="83" name="Payment_Mode 1">
              <a:extLst>
                <a:ext uri="{FF2B5EF4-FFF2-40B4-BE49-F238E27FC236}">
                  <a16:creationId xmlns:a16="http://schemas.microsoft.com/office/drawing/2014/main" id="{CB572EAA-4ED9-4396-BA90-E60220CB466C}"/>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2983832" y="6138953"/>
              <a:ext cx="1840524" cy="1180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182053</xdr:colOff>
      <xdr:row>16</xdr:row>
      <xdr:rowOff>36229</xdr:rowOff>
    </xdr:from>
    <xdr:to>
      <xdr:col>24</xdr:col>
      <xdr:colOff>182053</xdr:colOff>
      <xdr:row>27</xdr:row>
      <xdr:rowOff>47626</xdr:rowOff>
    </xdr:to>
    <mc:AlternateContent xmlns:mc="http://schemas.openxmlformats.org/markup-compatibility/2006" xmlns:a14="http://schemas.microsoft.com/office/drawing/2010/main">
      <mc:Choice Requires="a14">
        <xdr:graphicFrame macro="">
          <xdr:nvGraphicFramePr>
            <xdr:cNvPr id="84" name="MONTH 1">
              <a:extLst>
                <a:ext uri="{FF2B5EF4-FFF2-40B4-BE49-F238E27FC236}">
                  <a16:creationId xmlns:a16="http://schemas.microsoft.com/office/drawing/2014/main" id="{D2254CB2-431D-43A7-BBAD-F8B73FCB674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983653" y="2931829"/>
              <a:ext cx="1828800" cy="2002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191758</xdr:colOff>
      <xdr:row>27</xdr:row>
      <xdr:rowOff>47626</xdr:rowOff>
    </xdr:from>
    <xdr:to>
      <xdr:col>24</xdr:col>
      <xdr:colOff>148626</xdr:colOff>
      <xdr:row>33</xdr:row>
      <xdr:rowOff>161926</xdr:rowOff>
    </xdr:to>
    <mc:AlternateContent xmlns:mc="http://schemas.openxmlformats.org/markup-compatibility/2006" xmlns:a14="http://schemas.microsoft.com/office/drawing/2010/main">
      <mc:Choice Requires="a14">
        <xdr:graphicFrame macro="">
          <xdr:nvGraphicFramePr>
            <xdr:cNvPr id="85" name="Payment_Status 1">
              <a:extLst>
                <a:ext uri="{FF2B5EF4-FFF2-40B4-BE49-F238E27FC236}">
                  <a16:creationId xmlns:a16="http://schemas.microsoft.com/office/drawing/2014/main" id="{21B07EB9-AEFD-400A-AA25-DC1087FAB00F}"/>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12993358" y="4933951"/>
              <a:ext cx="1785668"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0</xdr:row>
      <xdr:rowOff>76200</xdr:rowOff>
    </xdr:from>
    <xdr:to>
      <xdr:col>16</xdr:col>
      <xdr:colOff>544286</xdr:colOff>
      <xdr:row>3</xdr:row>
      <xdr:rowOff>141515</xdr:rowOff>
    </xdr:to>
    <xdr:sp macro="" textlink="">
      <xdr:nvSpPr>
        <xdr:cNvPr id="86" name="TextBox 85">
          <a:extLst>
            <a:ext uri="{FF2B5EF4-FFF2-40B4-BE49-F238E27FC236}">
              <a16:creationId xmlns:a16="http://schemas.microsoft.com/office/drawing/2014/main" id="{565483F6-5093-68AF-3003-D9A01530713B}"/>
            </a:ext>
          </a:extLst>
        </xdr:cNvPr>
        <xdr:cNvSpPr txBox="1"/>
      </xdr:nvSpPr>
      <xdr:spPr>
        <a:xfrm>
          <a:off x="1600200" y="76200"/>
          <a:ext cx="8697686" cy="6204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a:solidFill>
                <a:srgbClr val="92D050"/>
              </a:solidFill>
              <a:latin typeface="Segoe UI Semibold" panose="020B0702040204020203" pitchFamily="34" charset="0"/>
              <a:cs typeface="Segoe UI Semibold" panose="020B0702040204020203" pitchFamily="34" charset="0"/>
            </a:rPr>
            <a:t>RENTAL MANAGEMANT DASHBOARD</a:t>
          </a:r>
        </a:p>
        <a:p>
          <a:pPr algn="ctr"/>
          <a:endParaRPr lang="en-IN" sz="2400">
            <a:solidFill>
              <a:srgbClr val="92D050"/>
            </a:solidFill>
            <a:latin typeface="Segoe UI Semibold" panose="020B0702040204020203" pitchFamily="34" charset="0"/>
            <a:cs typeface="Segoe UI Semibold" panose="020B07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HAN" refreshedDate="46063.43018703704" createdVersion="8" refreshedVersion="8" minRefreshableVersion="3" recordCount="250" xr:uid="{4DF28A8B-753B-4C22-9997-7CE0ACD77167}">
  <cacheSource type="worksheet">
    <worksheetSource name="Properties"/>
  </cacheSource>
  <cacheFields count="12">
    <cacheField name="Property_ID" numFmtId="0">
      <sharedItems/>
    </cacheField>
    <cacheField name="Property_Name" numFmtId="0">
      <sharedItems/>
    </cacheField>
    <cacheField name="Property_Type" numFmtId="0">
      <sharedItems count="3">
        <s v="House"/>
        <s v="Flat"/>
        <s v="Shop"/>
      </sharedItems>
    </cacheField>
    <cacheField name="City" numFmtId="0">
      <sharedItems count="5">
        <s v="Mumbai"/>
        <s v="Pune"/>
        <s v="Hyderabad"/>
        <s v="Bangalore"/>
        <s v="Chennai"/>
      </sharedItems>
    </cacheField>
    <cacheField name="Furnished_Status" numFmtId="0">
      <sharedItems/>
    </cacheField>
    <cacheField name="Expected_Rent" numFmtId="0">
      <sharedItems containsSemiMixedTypes="0" containsString="0" containsNumber="1" containsInteger="1" minValue="15072" maxValue="59932"/>
    </cacheField>
    <cacheField name="Security_Deposit" numFmtId="0">
      <sharedItems containsSemiMixedTypes="0" containsString="0" containsNumber="1" containsInteger="1" minValue="60595" maxValue="249480"/>
    </cacheField>
    <cacheField name="Maintenance_Charge" numFmtId="0">
      <sharedItems containsSemiMixedTypes="0" containsString="0" containsNumber="1" containsInteger="1" minValue="1519" maxValue="7000"/>
    </cacheField>
    <cacheField name="Property_Status" numFmtId="0">
      <sharedItems/>
    </cacheField>
    <cacheField name="Purchase_Date" numFmtId="164">
      <sharedItems containsSemiMixedTypes="0" containsNonDate="0" containsDate="1" containsString="0" minDate="2018-01-16T00:00:00" maxDate="2024-10-31T00:00:00"/>
    </cacheField>
    <cacheField name="Expense_Type" numFmtId="0">
      <sharedItems count="5">
        <s v="Electrical"/>
        <s v="Cleaning"/>
        <s v="Painting"/>
        <s v="Plumbing"/>
        <s v="Tax"/>
      </sharedItems>
    </cacheField>
    <cacheField name="Expenses Amount" numFmtId="0">
      <sharedItems containsSemiMixedTypes="0" containsString="0" containsNumber="1" containsInteger="1" minValue="543" maxValue="19760"/>
    </cacheField>
  </cacheFields>
  <extLst>
    <ext xmlns:x14="http://schemas.microsoft.com/office/spreadsheetml/2009/9/main" uri="{725AE2AE-9491-48be-B2B4-4EB974FC3084}">
      <x14:pivotCacheDefinition pivotCacheId="7440602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HAN" refreshedDate="46063.430859837965" createdVersion="8" refreshedVersion="8" minRefreshableVersion="3" recordCount="250" xr:uid="{79A693EA-5038-48A3-9A9B-97BA3F0FF459}">
  <cacheSource type="worksheet">
    <worksheetSource name="Tenants"/>
  </cacheSource>
  <cacheFields count="12">
    <cacheField name="Tenant_ID" numFmtId="0">
      <sharedItems/>
    </cacheField>
    <cacheField name="Tenant_Name" numFmtId="0">
      <sharedItems/>
    </cacheField>
    <cacheField name="Phone" numFmtId="0">
      <sharedItems/>
    </cacheField>
    <cacheField name="Occupation" numFmtId="0">
      <sharedItems/>
    </cacheField>
    <cacheField name="Family_Members" numFmtId="0">
      <sharedItems containsSemiMixedTypes="0" containsString="0" containsNumber="1" containsInteger="1" minValue="1" maxValue="6"/>
    </cacheField>
    <cacheField name="Tenant_Status" numFmtId="0">
      <sharedItems count="2">
        <s v="Active"/>
        <s v="Vacated"/>
      </sharedItems>
    </cacheField>
    <cacheField name="Payment_Date" numFmtId="164">
      <sharedItems containsSemiMixedTypes="0" containsNonDate="0" containsDate="1" containsString="0" minDate="2024-01-01T00:00:00" maxDate="2025-03-25T00:00:00"/>
    </cacheField>
    <cacheField name="Payment_Month" numFmtId="0">
      <sharedItems count="15">
        <s v="2024-03"/>
        <s v="2024-08"/>
        <s v="2024-11"/>
        <s v="2024-07"/>
        <s v="2025-02"/>
        <s v="2024-02"/>
        <s v="2024-01"/>
        <s v="2024-09"/>
        <s v="2024-10"/>
        <s v="2024-06"/>
        <s v="2024-12"/>
        <s v="2024-05"/>
        <s v="2025-03"/>
        <s v="2024-04"/>
        <s v="2025-01"/>
      </sharedItems>
    </cacheField>
    <cacheField name="Paid_Amount" numFmtId="0">
      <sharedItems containsSemiMixedTypes="0" containsString="0" containsNumber="1" containsInteger="1" minValue="8579" maxValue="59967"/>
    </cacheField>
    <cacheField name="Payment_Mode" numFmtId="0">
      <sharedItems count="3">
        <s v="UPI"/>
        <s v="Cash"/>
        <s v="Bank"/>
      </sharedItems>
    </cacheField>
    <cacheField name="Payment_Status" numFmtId="0">
      <sharedItems count="3">
        <s v="Pending"/>
        <s v="Partial"/>
        <s v="Paid"/>
      </sharedItems>
    </cacheField>
    <cacheField name="MONTH" numFmtId="0">
      <sharedItems count="12">
        <s v="Mar"/>
        <s v="Aug"/>
        <s v="Nov"/>
        <s v="Jul"/>
        <s v="Feb"/>
        <s v="Jan"/>
        <s v="Sep"/>
        <s v="Oct"/>
        <s v="Jun"/>
        <s v="Dec"/>
        <s v="May"/>
        <s v="Apr"/>
      </sharedItems>
    </cacheField>
  </cacheFields>
  <extLst>
    <ext xmlns:x14="http://schemas.microsoft.com/office/spreadsheetml/2009/9/main" uri="{725AE2AE-9491-48be-B2B4-4EB974FC3084}">
      <x14:pivotCacheDefinition pivotCacheId="959672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P001"/>
    <s v="Sunrise Elite Homes"/>
    <x v="0"/>
    <x v="0"/>
    <s v="Unfurnished"/>
    <n v="21219"/>
    <n v="130428"/>
    <n v="3331"/>
    <s v="Available"/>
    <d v="2018-05-16T00:00:00"/>
    <x v="0"/>
    <n v="15152"/>
  </r>
  <r>
    <s v="P002"/>
    <s v="Crystal Crown Apartments"/>
    <x v="1"/>
    <x v="1"/>
    <s v="Unfurnished"/>
    <n v="25579"/>
    <n v="82327"/>
    <n v="3236"/>
    <s v="Rented"/>
    <d v="2019-06-22T00:00:00"/>
    <x v="0"/>
    <n v="12925"/>
  </r>
  <r>
    <s v="P003"/>
    <s v="Crown Central"/>
    <x v="2"/>
    <x v="2"/>
    <s v="Unfurnished"/>
    <n v="25205"/>
    <n v="105201"/>
    <n v="5251"/>
    <s v="Rented"/>
    <d v="2020-11-20T00:00:00"/>
    <x v="1"/>
    <n v="5033"/>
  </r>
  <r>
    <s v="P004"/>
    <s v="Crown Central"/>
    <x v="2"/>
    <x v="2"/>
    <s v="Semi"/>
    <n v="19078"/>
    <n v="79576"/>
    <n v="2712"/>
    <s v="Available"/>
    <d v="2019-02-16T00:00:00"/>
    <x v="2"/>
    <n v="6401"/>
  </r>
  <r>
    <s v="P005"/>
    <s v="The Grand Nook"/>
    <x v="1"/>
    <x v="0"/>
    <s v="Furnished"/>
    <n v="21104"/>
    <n v="187324"/>
    <n v="4427"/>
    <s v="Available"/>
    <d v="2024-06-30T00:00:00"/>
    <x v="2"/>
    <n v="14781"/>
  </r>
  <r>
    <s v="P006"/>
    <s v="Golden Arc Homes"/>
    <x v="0"/>
    <x v="3"/>
    <s v="Unfurnished"/>
    <n v="31831"/>
    <n v="131150"/>
    <n v="6968"/>
    <s v="Rented"/>
    <d v="2018-03-25T00:00:00"/>
    <x v="1"/>
    <n v="10498"/>
  </r>
  <r>
    <s v="P007"/>
    <s v="Azure Bloom Homes"/>
    <x v="0"/>
    <x v="2"/>
    <s v="Unfurnished"/>
    <n v="33604"/>
    <n v="143294"/>
    <n v="2957"/>
    <s v="Available"/>
    <d v="2018-05-12T00:00:00"/>
    <x v="1"/>
    <n v="13976"/>
  </r>
  <r>
    <s v="P008"/>
    <s v="Aura Heights"/>
    <x v="1"/>
    <x v="2"/>
    <s v="Semi"/>
    <n v="59932"/>
    <n v="219497"/>
    <n v="6774"/>
    <s v="Available"/>
    <d v="2018-12-22T00:00:00"/>
    <x v="0"/>
    <n v="19760"/>
  </r>
  <r>
    <s v="P009"/>
    <s v="Golden Arc Homes"/>
    <x v="0"/>
    <x v="3"/>
    <s v="Furnished"/>
    <n v="53629"/>
    <n v="67835"/>
    <n v="1778"/>
    <s v="Available"/>
    <d v="2024-04-19T00:00:00"/>
    <x v="3"/>
    <n v="8413"/>
  </r>
  <r>
    <s v="P010"/>
    <s v="Azure Bloom Homes"/>
    <x v="0"/>
    <x v="2"/>
    <s v="Semi"/>
    <n v="59714"/>
    <n v="152241"/>
    <n v="1695"/>
    <s v="Available"/>
    <d v="2023-03-31T00:00:00"/>
    <x v="1"/>
    <n v="8454"/>
  </r>
  <r>
    <s v="P011"/>
    <s v="SilverLeaf Apartments"/>
    <x v="1"/>
    <x v="3"/>
    <s v="Unfurnished"/>
    <n v="53172"/>
    <n v="218331"/>
    <n v="4738"/>
    <s v="Rented"/>
    <d v="2019-07-12T00:00:00"/>
    <x v="4"/>
    <n v="17808"/>
  </r>
  <r>
    <s v="P012"/>
    <s v="Willow Crest Homes"/>
    <x v="0"/>
    <x v="4"/>
    <s v="Furnished"/>
    <n v="55838"/>
    <n v="141439"/>
    <n v="6875"/>
    <s v="Available"/>
    <d v="2019-07-12T00:00:00"/>
    <x v="4"/>
    <n v="15135"/>
  </r>
  <r>
    <s v="P013"/>
    <s v="Crown Central"/>
    <x v="2"/>
    <x v="2"/>
    <s v="Furnished"/>
    <n v="58418"/>
    <n v="148770"/>
    <n v="5927"/>
    <s v="Rented"/>
    <d v="2021-06-19T00:00:00"/>
    <x v="0"/>
    <n v="14262"/>
  </r>
  <r>
    <s v="P014"/>
    <s v="Aura Heights"/>
    <x v="1"/>
    <x v="2"/>
    <s v="Furnished"/>
    <n v="35057"/>
    <n v="187047"/>
    <n v="1689"/>
    <s v="Available"/>
    <d v="2024-10-04T00:00:00"/>
    <x v="3"/>
    <n v="2094"/>
  </r>
  <r>
    <s v="P015"/>
    <s v="Sunrise Elite Homes"/>
    <x v="0"/>
    <x v="0"/>
    <s v="Furnished"/>
    <n v="54801"/>
    <n v="243633"/>
    <n v="4574"/>
    <s v="Available"/>
    <d v="2023-02-19T00:00:00"/>
    <x v="0"/>
    <n v="19087"/>
  </r>
  <r>
    <s v="P016"/>
    <s v="Urban Plaza"/>
    <x v="2"/>
    <x v="1"/>
    <s v="Semi"/>
    <n v="52651"/>
    <n v="145483"/>
    <n v="6972"/>
    <s v="Available"/>
    <d v="2018-08-26T00:00:00"/>
    <x v="1"/>
    <n v="17857"/>
  </r>
  <r>
    <s v="P017"/>
    <s v="Urban Plaza"/>
    <x v="2"/>
    <x v="1"/>
    <s v="Unfurnished"/>
    <n v="16851"/>
    <n v="221087"/>
    <n v="1521"/>
    <s v="Rented"/>
    <d v="2020-01-21T00:00:00"/>
    <x v="2"/>
    <n v="1328"/>
  </r>
  <r>
    <s v="P018"/>
    <s v="Azure Bloom Homes"/>
    <x v="0"/>
    <x v="2"/>
    <s v="Furnished"/>
    <n v="51111"/>
    <n v="239870"/>
    <n v="5102"/>
    <s v="Available"/>
    <d v="2018-08-11T00:00:00"/>
    <x v="1"/>
    <n v="2714"/>
  </r>
  <r>
    <s v="P019"/>
    <s v="Urban Plaza"/>
    <x v="2"/>
    <x v="1"/>
    <s v="Unfurnished"/>
    <n v="49088"/>
    <n v="218423"/>
    <n v="4401"/>
    <s v="Rented"/>
    <d v="2018-11-23T00:00:00"/>
    <x v="3"/>
    <n v="10407"/>
  </r>
  <r>
    <s v="P020"/>
    <s v="Aura Heights"/>
    <x v="1"/>
    <x v="2"/>
    <s v="Semi"/>
    <n v="44701"/>
    <n v="120711"/>
    <n v="6572"/>
    <s v="Rented"/>
    <d v="2023-06-25T00:00:00"/>
    <x v="0"/>
    <n v="3396"/>
  </r>
  <r>
    <s v="P021"/>
    <s v="Crown Central"/>
    <x v="2"/>
    <x v="2"/>
    <s v="Unfurnished"/>
    <n v="39654"/>
    <n v="206097"/>
    <n v="5311"/>
    <s v="Available"/>
    <d v="2022-11-25T00:00:00"/>
    <x v="4"/>
    <n v="6192"/>
  </r>
  <r>
    <s v="P022"/>
    <s v="Aura Heights"/>
    <x v="1"/>
    <x v="2"/>
    <s v="Furnished"/>
    <n v="41781"/>
    <n v="95555"/>
    <n v="6880"/>
    <s v="Rented"/>
    <d v="2019-10-06T00:00:00"/>
    <x v="0"/>
    <n v="7637"/>
  </r>
  <r>
    <s v="P023"/>
    <s v="Crown Central"/>
    <x v="2"/>
    <x v="2"/>
    <s v="Unfurnished"/>
    <n v="17439"/>
    <n v="68790"/>
    <n v="1730"/>
    <s v="Rented"/>
    <d v="2023-02-27T00:00:00"/>
    <x v="3"/>
    <n v="13721"/>
  </r>
  <r>
    <s v="P024"/>
    <s v="Nova Square"/>
    <x v="2"/>
    <x v="0"/>
    <s v="Semi"/>
    <n v="49129"/>
    <n v="120456"/>
    <n v="5886"/>
    <s v="Available"/>
    <d v="2024-03-27T00:00:00"/>
    <x v="2"/>
    <n v="18686"/>
  </r>
  <r>
    <s v="P025"/>
    <s v="The Avenue Mall"/>
    <x v="2"/>
    <x v="3"/>
    <s v="Unfurnished"/>
    <n v="50340"/>
    <n v="232672"/>
    <n v="5807"/>
    <s v="Available"/>
    <d v="2019-05-08T00:00:00"/>
    <x v="1"/>
    <n v="13909"/>
  </r>
  <r>
    <s v="P026"/>
    <s v="Crystal Crown Apartments"/>
    <x v="1"/>
    <x v="1"/>
    <s v="Semi"/>
    <n v="47653"/>
    <n v="119450"/>
    <n v="1696"/>
    <s v="Available"/>
    <d v="2018-04-15T00:00:00"/>
    <x v="4"/>
    <n v="5146"/>
  </r>
  <r>
    <s v="P027"/>
    <s v="The Avenue Mall"/>
    <x v="2"/>
    <x v="3"/>
    <s v="Unfurnished"/>
    <n v="57986"/>
    <n v="223703"/>
    <n v="6132"/>
    <s v="Available"/>
    <d v="2021-09-27T00:00:00"/>
    <x v="1"/>
    <n v="4503"/>
  </r>
  <r>
    <s v="P028"/>
    <s v="Sunrise Elite Homes"/>
    <x v="0"/>
    <x v="0"/>
    <s v="Semi"/>
    <n v="41256"/>
    <n v="219026"/>
    <n v="5510"/>
    <s v="Available"/>
    <d v="2021-06-07T00:00:00"/>
    <x v="2"/>
    <n v="1203"/>
  </r>
  <r>
    <s v="P029"/>
    <s v="Sunrise Elite Homes"/>
    <x v="0"/>
    <x v="0"/>
    <s v="Semi"/>
    <n v="52431"/>
    <n v="231902"/>
    <n v="5752"/>
    <s v="Rented"/>
    <d v="2022-05-21T00:00:00"/>
    <x v="2"/>
    <n v="7613"/>
  </r>
  <r>
    <s v="P030"/>
    <s v="Aura Heights"/>
    <x v="1"/>
    <x v="2"/>
    <s v="Unfurnished"/>
    <n v="56271"/>
    <n v="124227"/>
    <n v="6571"/>
    <s v="Available"/>
    <d v="2022-07-04T00:00:00"/>
    <x v="1"/>
    <n v="19433"/>
  </r>
  <r>
    <s v="P031"/>
    <s v="Aura Heights"/>
    <x v="1"/>
    <x v="2"/>
    <s v="Unfurnished"/>
    <n v="27121"/>
    <n v="172572"/>
    <n v="2298"/>
    <s v="Available"/>
    <d v="2018-11-23T00:00:00"/>
    <x v="3"/>
    <n v="17318"/>
  </r>
  <r>
    <s v="P032"/>
    <s v="Infinity Mall"/>
    <x v="2"/>
    <x v="4"/>
    <s v="Furnished"/>
    <n v="23889"/>
    <n v="184052"/>
    <n v="5269"/>
    <s v="Rented"/>
    <d v="2023-08-01T00:00:00"/>
    <x v="2"/>
    <n v="6604"/>
  </r>
  <r>
    <s v="P033"/>
    <s v="Sunrise Elite Homes"/>
    <x v="0"/>
    <x v="0"/>
    <s v="Unfurnished"/>
    <n v="38444"/>
    <n v="234499"/>
    <n v="5970"/>
    <s v="Rented"/>
    <d v="2020-12-09T00:00:00"/>
    <x v="1"/>
    <n v="16540"/>
  </r>
  <r>
    <s v="P034"/>
    <s v="Crystal Crown Apartments"/>
    <x v="1"/>
    <x v="1"/>
    <s v="Unfurnished"/>
    <n v="20198"/>
    <n v="165919"/>
    <n v="3545"/>
    <s v="Available"/>
    <d v="2020-09-06T00:00:00"/>
    <x v="0"/>
    <n v="14820"/>
  </r>
  <r>
    <s v="P035"/>
    <s v="SilverLeaf Apartments"/>
    <x v="1"/>
    <x v="3"/>
    <s v="Unfurnished"/>
    <n v="28192"/>
    <n v="106272"/>
    <n v="1982"/>
    <s v="Available"/>
    <d v="2018-11-25T00:00:00"/>
    <x v="0"/>
    <n v="1392"/>
  </r>
  <r>
    <s v="P036"/>
    <s v="Infinity Mall"/>
    <x v="2"/>
    <x v="4"/>
    <s v="Semi"/>
    <n v="44925"/>
    <n v="148868"/>
    <n v="6346"/>
    <s v="Rented"/>
    <d v="2023-11-04T00:00:00"/>
    <x v="1"/>
    <n v="19129"/>
  </r>
  <r>
    <s v="P037"/>
    <s v="Golden Arc Homes"/>
    <x v="0"/>
    <x v="3"/>
    <s v="Furnished"/>
    <n v="26081"/>
    <n v="145414"/>
    <n v="1656"/>
    <s v="Rented"/>
    <d v="2022-03-05T00:00:00"/>
    <x v="3"/>
    <n v="15182"/>
  </r>
  <r>
    <s v="P038"/>
    <s v="Azure Bloom Homes"/>
    <x v="0"/>
    <x v="2"/>
    <s v="Unfurnished"/>
    <n v="23943"/>
    <n v="107184"/>
    <n v="3864"/>
    <s v="Rented"/>
    <d v="2022-05-11T00:00:00"/>
    <x v="4"/>
    <n v="14658"/>
  </r>
  <r>
    <s v="P039"/>
    <s v="Aura Heights"/>
    <x v="1"/>
    <x v="2"/>
    <s v="Furnished"/>
    <n v="59078"/>
    <n v="169180"/>
    <n v="4104"/>
    <s v="Rented"/>
    <d v="2021-06-28T00:00:00"/>
    <x v="1"/>
    <n v="13845"/>
  </r>
  <r>
    <s v="P040"/>
    <s v="Crown Central"/>
    <x v="2"/>
    <x v="2"/>
    <s v="Furnished"/>
    <n v="26302"/>
    <n v="104237"/>
    <n v="1609"/>
    <s v="Available"/>
    <d v="2020-07-22T00:00:00"/>
    <x v="1"/>
    <n v="17874"/>
  </r>
  <r>
    <s v="P041"/>
    <s v="The Avenue Mall"/>
    <x v="2"/>
    <x v="3"/>
    <s v="Semi"/>
    <n v="25663"/>
    <n v="166523"/>
    <n v="2841"/>
    <s v="Available"/>
    <d v="2021-10-23T00:00:00"/>
    <x v="3"/>
    <n v="18880"/>
  </r>
  <r>
    <s v="P042"/>
    <s v="Azure Bloom Homes"/>
    <x v="0"/>
    <x v="2"/>
    <s v="Unfurnished"/>
    <n v="46207"/>
    <n v="217326"/>
    <n v="2927"/>
    <s v="Available"/>
    <d v="2018-05-17T00:00:00"/>
    <x v="3"/>
    <n v="2941"/>
  </r>
  <r>
    <s v="P043"/>
    <s v="Crystal Crown Apartments"/>
    <x v="1"/>
    <x v="1"/>
    <s v="Unfurnished"/>
    <n v="15075"/>
    <n v="66031"/>
    <n v="4069"/>
    <s v="Available"/>
    <d v="2022-03-04T00:00:00"/>
    <x v="4"/>
    <n v="5614"/>
  </r>
  <r>
    <s v="P044"/>
    <s v="Serenity Springs"/>
    <x v="0"/>
    <x v="1"/>
    <s v="Semi"/>
    <n v="24398"/>
    <n v="79990"/>
    <n v="6304"/>
    <s v="Available"/>
    <d v="2024-07-24T00:00:00"/>
    <x v="1"/>
    <n v="4055"/>
  </r>
  <r>
    <s v="P045"/>
    <s v="Sunrise Elite Homes"/>
    <x v="0"/>
    <x v="0"/>
    <s v="Furnished"/>
    <n v="17920"/>
    <n v="132294"/>
    <n v="2348"/>
    <s v="Rented"/>
    <d v="2018-05-03T00:00:00"/>
    <x v="0"/>
    <n v="16893"/>
  </r>
  <r>
    <s v="P046"/>
    <s v="Crystal Crown Apartments"/>
    <x v="1"/>
    <x v="1"/>
    <s v="Semi"/>
    <n v="46655"/>
    <n v="94984"/>
    <n v="2524"/>
    <s v="Available"/>
    <d v="2019-11-16T00:00:00"/>
    <x v="2"/>
    <n v="8174"/>
  </r>
  <r>
    <s v="P047"/>
    <s v="Willow Crest Homes"/>
    <x v="0"/>
    <x v="4"/>
    <s v="Unfurnished"/>
    <n v="53151"/>
    <n v="175755"/>
    <n v="6348"/>
    <s v="Rented"/>
    <d v="2018-01-16T00:00:00"/>
    <x v="1"/>
    <n v="4806"/>
  </r>
  <r>
    <s v="P048"/>
    <s v="Urban Plaza"/>
    <x v="2"/>
    <x v="1"/>
    <s v="Semi"/>
    <n v="15470"/>
    <n v="102347"/>
    <n v="1545"/>
    <s v="Rented"/>
    <d v="2018-01-16T00:00:00"/>
    <x v="3"/>
    <n v="10436"/>
  </r>
  <r>
    <s v="P049"/>
    <s v="The Avenue Mall"/>
    <x v="2"/>
    <x v="3"/>
    <s v="Unfurnished"/>
    <n v="50049"/>
    <n v="70123"/>
    <n v="5233"/>
    <s v="Rented"/>
    <d v="2024-03-23T00:00:00"/>
    <x v="3"/>
    <n v="10749"/>
  </r>
  <r>
    <s v="P050"/>
    <s v="The Avenue Mall"/>
    <x v="2"/>
    <x v="3"/>
    <s v="Furnished"/>
    <n v="21847"/>
    <n v="242548"/>
    <n v="2975"/>
    <s v="Rented"/>
    <d v="2020-01-11T00:00:00"/>
    <x v="3"/>
    <n v="8490"/>
  </r>
  <r>
    <s v="P051"/>
    <s v="The Avenue Mall"/>
    <x v="2"/>
    <x v="3"/>
    <s v="Furnished"/>
    <n v="58514"/>
    <n v="90256"/>
    <n v="2280"/>
    <s v="Rented"/>
    <d v="2018-05-19T00:00:00"/>
    <x v="0"/>
    <n v="1966"/>
  </r>
  <r>
    <s v="P052"/>
    <s v="Willow Crest Homes"/>
    <x v="0"/>
    <x v="4"/>
    <s v="Furnished"/>
    <n v="21948"/>
    <n v="101731"/>
    <n v="6411"/>
    <s v="Available"/>
    <d v="2018-04-13T00:00:00"/>
    <x v="0"/>
    <n v="4130"/>
  </r>
  <r>
    <s v="P053"/>
    <s v="Serenity Springs"/>
    <x v="0"/>
    <x v="1"/>
    <s v="Semi"/>
    <n v="42890"/>
    <n v="185700"/>
    <n v="5445"/>
    <s v="Rented"/>
    <d v="2023-02-16T00:00:00"/>
    <x v="2"/>
    <n v="14810"/>
  </r>
  <r>
    <s v="P054"/>
    <s v="Urban Plaza"/>
    <x v="2"/>
    <x v="1"/>
    <s v="Semi"/>
    <n v="49612"/>
    <n v="158438"/>
    <n v="2934"/>
    <s v="Rented"/>
    <d v="2024-01-16T00:00:00"/>
    <x v="4"/>
    <n v="13075"/>
  </r>
  <r>
    <s v="P055"/>
    <s v="The Avenue Mall"/>
    <x v="2"/>
    <x v="3"/>
    <s v="Unfurnished"/>
    <n v="22428"/>
    <n v="227505"/>
    <n v="1730"/>
    <s v="Available"/>
    <d v="2021-01-04T00:00:00"/>
    <x v="0"/>
    <n v="14311"/>
  </r>
  <r>
    <s v="P056"/>
    <s v="The Avenue Mall"/>
    <x v="2"/>
    <x v="3"/>
    <s v="Semi"/>
    <n v="42912"/>
    <n v="172346"/>
    <n v="5663"/>
    <s v="Rented"/>
    <d v="2018-06-04T00:00:00"/>
    <x v="0"/>
    <n v="13587"/>
  </r>
  <r>
    <s v="P057"/>
    <s v="Infinity Mall"/>
    <x v="2"/>
    <x v="4"/>
    <s v="Furnished"/>
    <n v="32171"/>
    <n v="90633"/>
    <n v="4973"/>
    <s v="Available"/>
    <d v="2023-01-04T00:00:00"/>
    <x v="0"/>
    <n v="7887"/>
  </r>
  <r>
    <s v="P058"/>
    <s v="Nova Square"/>
    <x v="2"/>
    <x v="0"/>
    <s v="Semi"/>
    <n v="20975"/>
    <n v="143356"/>
    <n v="6756"/>
    <s v="Available"/>
    <d v="2021-06-08T00:00:00"/>
    <x v="0"/>
    <n v="16227"/>
  </r>
  <r>
    <s v="P059"/>
    <s v="Infinity Mall"/>
    <x v="2"/>
    <x v="4"/>
    <s v="Furnished"/>
    <n v="34918"/>
    <n v="129346"/>
    <n v="3557"/>
    <s v="Available"/>
    <d v="2020-06-08T00:00:00"/>
    <x v="0"/>
    <n v="18281"/>
  </r>
  <r>
    <s v="P060"/>
    <s v="Crystal Crown Apartments"/>
    <x v="1"/>
    <x v="1"/>
    <s v="Unfurnished"/>
    <n v="31484"/>
    <n v="194881"/>
    <n v="4059"/>
    <s v="Rented"/>
    <d v="2019-03-27T00:00:00"/>
    <x v="4"/>
    <n v="13926"/>
  </r>
  <r>
    <s v="P061"/>
    <s v="Serenity Springs"/>
    <x v="0"/>
    <x v="1"/>
    <s v="Semi"/>
    <n v="45853"/>
    <n v="247216"/>
    <n v="6203"/>
    <s v="Rented"/>
    <d v="2019-08-23T00:00:00"/>
    <x v="2"/>
    <n v="1804"/>
  </r>
  <r>
    <s v="P062"/>
    <s v="The Opal Enclave"/>
    <x v="1"/>
    <x v="4"/>
    <s v="Furnished"/>
    <n v="54262"/>
    <n v="72869"/>
    <n v="3515"/>
    <s v="Rented"/>
    <d v="2020-03-03T00:00:00"/>
    <x v="3"/>
    <n v="9142"/>
  </r>
  <r>
    <s v="P063"/>
    <s v="Nova Square"/>
    <x v="2"/>
    <x v="0"/>
    <s v="Furnished"/>
    <n v="18968"/>
    <n v="141801"/>
    <n v="5487"/>
    <s v="Rented"/>
    <d v="2018-07-12T00:00:00"/>
    <x v="2"/>
    <n v="8075"/>
  </r>
  <r>
    <s v="P064"/>
    <s v="Sunrise Elite Homes"/>
    <x v="0"/>
    <x v="0"/>
    <s v="Furnished"/>
    <n v="53403"/>
    <n v="78961"/>
    <n v="2790"/>
    <s v="Available"/>
    <d v="2020-11-25T00:00:00"/>
    <x v="0"/>
    <n v="15873"/>
  </r>
  <r>
    <s v="P065"/>
    <s v="Nova Square"/>
    <x v="2"/>
    <x v="0"/>
    <s v="Furnished"/>
    <n v="55269"/>
    <n v="226284"/>
    <n v="6283"/>
    <s v="Available"/>
    <d v="2020-04-13T00:00:00"/>
    <x v="3"/>
    <n v="14952"/>
  </r>
  <r>
    <s v="P066"/>
    <s v="Infinity Mall"/>
    <x v="2"/>
    <x v="4"/>
    <s v="Furnished"/>
    <n v="31151"/>
    <n v="88703"/>
    <n v="2275"/>
    <s v="Available"/>
    <d v="2019-04-04T00:00:00"/>
    <x v="4"/>
    <n v="10456"/>
  </r>
  <r>
    <s v="P067"/>
    <s v="Golden Arc Homes"/>
    <x v="0"/>
    <x v="3"/>
    <s v="Unfurnished"/>
    <n v="59913"/>
    <n v="241301"/>
    <n v="3157"/>
    <s v="Rented"/>
    <d v="2023-02-02T00:00:00"/>
    <x v="1"/>
    <n v="14570"/>
  </r>
  <r>
    <s v="P068"/>
    <s v="Nova Square"/>
    <x v="2"/>
    <x v="0"/>
    <s v="Semi"/>
    <n v="44417"/>
    <n v="166472"/>
    <n v="4409"/>
    <s v="Available"/>
    <d v="2020-11-11T00:00:00"/>
    <x v="4"/>
    <n v="5879"/>
  </r>
  <r>
    <s v="P069"/>
    <s v="The Grand Nook"/>
    <x v="1"/>
    <x v="0"/>
    <s v="Semi"/>
    <n v="35438"/>
    <n v="162327"/>
    <n v="3285"/>
    <s v="Rented"/>
    <d v="2020-02-07T00:00:00"/>
    <x v="1"/>
    <n v="15760"/>
  </r>
  <r>
    <s v="P070"/>
    <s v="Nova Square"/>
    <x v="2"/>
    <x v="0"/>
    <s v="Semi"/>
    <n v="48537"/>
    <n v="240213"/>
    <n v="6851"/>
    <s v="Available"/>
    <d v="2022-12-05T00:00:00"/>
    <x v="4"/>
    <n v="13180"/>
  </r>
  <r>
    <s v="P071"/>
    <s v="Aura Heights"/>
    <x v="1"/>
    <x v="2"/>
    <s v="Furnished"/>
    <n v="56250"/>
    <n v="217549"/>
    <n v="5847"/>
    <s v="Rented"/>
    <d v="2022-04-16T00:00:00"/>
    <x v="1"/>
    <n v="4573"/>
  </r>
  <r>
    <s v="P072"/>
    <s v="Sunrise Elite Homes"/>
    <x v="0"/>
    <x v="0"/>
    <s v="Semi"/>
    <n v="19126"/>
    <n v="161272"/>
    <n v="5397"/>
    <s v="Rented"/>
    <d v="2022-03-14T00:00:00"/>
    <x v="4"/>
    <n v="13479"/>
  </r>
  <r>
    <s v="P073"/>
    <s v="Crown Central"/>
    <x v="2"/>
    <x v="2"/>
    <s v="Unfurnished"/>
    <n v="32885"/>
    <n v="148406"/>
    <n v="5389"/>
    <s v="Available"/>
    <d v="2021-04-21T00:00:00"/>
    <x v="1"/>
    <n v="16009"/>
  </r>
  <r>
    <s v="P074"/>
    <s v="Golden Arc Homes"/>
    <x v="0"/>
    <x v="3"/>
    <s v="Furnished"/>
    <n v="15488"/>
    <n v="164265"/>
    <n v="2783"/>
    <s v="Rented"/>
    <d v="2021-08-15T00:00:00"/>
    <x v="2"/>
    <n v="543"/>
  </r>
  <r>
    <s v="P075"/>
    <s v="Aura Heights"/>
    <x v="1"/>
    <x v="2"/>
    <s v="Unfurnished"/>
    <n v="42048"/>
    <n v="212903"/>
    <n v="2822"/>
    <s v="Rented"/>
    <d v="2024-10-29T00:00:00"/>
    <x v="2"/>
    <n v="1026"/>
  </r>
  <r>
    <s v="P076"/>
    <s v="The Opal Enclave"/>
    <x v="1"/>
    <x v="4"/>
    <s v="Unfurnished"/>
    <n v="55933"/>
    <n v="214494"/>
    <n v="3240"/>
    <s v="Available"/>
    <d v="2019-02-27T00:00:00"/>
    <x v="2"/>
    <n v="4595"/>
  </r>
  <r>
    <s v="P077"/>
    <s v="Infinity Mall"/>
    <x v="2"/>
    <x v="4"/>
    <s v="Semi"/>
    <n v="15761"/>
    <n v="202252"/>
    <n v="6768"/>
    <s v="Rented"/>
    <d v="2019-07-18T00:00:00"/>
    <x v="1"/>
    <n v="7513"/>
  </r>
  <r>
    <s v="P078"/>
    <s v="Sunrise Elite Homes"/>
    <x v="0"/>
    <x v="0"/>
    <s v="Semi"/>
    <n v="51477"/>
    <n v="249267"/>
    <n v="4994"/>
    <s v="Rented"/>
    <d v="2018-03-07T00:00:00"/>
    <x v="1"/>
    <n v="5088"/>
  </r>
  <r>
    <s v="P079"/>
    <s v="Willow Crest Homes"/>
    <x v="0"/>
    <x v="4"/>
    <s v="Furnished"/>
    <n v="50813"/>
    <n v="224704"/>
    <n v="4114"/>
    <s v="Available"/>
    <d v="2022-03-13T00:00:00"/>
    <x v="0"/>
    <n v="14847"/>
  </r>
  <r>
    <s v="P080"/>
    <s v="Crystal Crown Apartments"/>
    <x v="1"/>
    <x v="1"/>
    <s v="Unfurnished"/>
    <n v="53334"/>
    <n v="231565"/>
    <n v="2116"/>
    <s v="Rented"/>
    <d v="2021-03-23T00:00:00"/>
    <x v="4"/>
    <n v="16668"/>
  </r>
  <r>
    <s v="P081"/>
    <s v="Golden Arc Homes"/>
    <x v="0"/>
    <x v="3"/>
    <s v="Semi"/>
    <n v="23234"/>
    <n v="87477"/>
    <n v="5970"/>
    <s v="Available"/>
    <d v="2023-06-12T00:00:00"/>
    <x v="4"/>
    <n v="13792"/>
  </r>
  <r>
    <s v="P082"/>
    <s v="Urban Plaza"/>
    <x v="2"/>
    <x v="1"/>
    <s v="Semi"/>
    <n v="15391"/>
    <n v="106789"/>
    <n v="4086"/>
    <s v="Available"/>
    <d v="2021-01-04T00:00:00"/>
    <x v="4"/>
    <n v="4158"/>
  </r>
  <r>
    <s v="P083"/>
    <s v="Urban Plaza"/>
    <x v="2"/>
    <x v="1"/>
    <s v="Semi"/>
    <n v="49046"/>
    <n v="79907"/>
    <n v="2869"/>
    <s v="Rented"/>
    <d v="2020-06-08T00:00:00"/>
    <x v="3"/>
    <n v="2542"/>
  </r>
  <r>
    <s v="P084"/>
    <s v="The Opal Enclave"/>
    <x v="1"/>
    <x v="4"/>
    <s v="Unfurnished"/>
    <n v="22290"/>
    <n v="203964"/>
    <n v="1519"/>
    <s v="Rented"/>
    <d v="2023-06-15T00:00:00"/>
    <x v="4"/>
    <n v="8621"/>
  </r>
  <r>
    <s v="P085"/>
    <s v="The Avenue Mall"/>
    <x v="2"/>
    <x v="3"/>
    <s v="Semi"/>
    <n v="20873"/>
    <n v="195780"/>
    <n v="3441"/>
    <s v="Available"/>
    <d v="2020-01-11T00:00:00"/>
    <x v="0"/>
    <n v="16219"/>
  </r>
  <r>
    <s v="P086"/>
    <s v="The Grand Nook"/>
    <x v="1"/>
    <x v="0"/>
    <s v="Unfurnished"/>
    <n v="57009"/>
    <n v="146234"/>
    <n v="3436"/>
    <s v="Rented"/>
    <d v="2021-10-26T00:00:00"/>
    <x v="0"/>
    <n v="12493"/>
  </r>
  <r>
    <s v="P087"/>
    <s v="Infinity Mall"/>
    <x v="2"/>
    <x v="4"/>
    <s v="Furnished"/>
    <n v="26860"/>
    <n v="216018"/>
    <n v="3458"/>
    <s v="Available"/>
    <d v="2024-07-21T00:00:00"/>
    <x v="4"/>
    <n v="11734"/>
  </r>
  <r>
    <s v="P088"/>
    <s v="Sunrise Elite Homes"/>
    <x v="0"/>
    <x v="0"/>
    <s v="Semi"/>
    <n v="28532"/>
    <n v="194485"/>
    <n v="6418"/>
    <s v="Available"/>
    <d v="2019-01-06T00:00:00"/>
    <x v="2"/>
    <n v="5270"/>
  </r>
  <r>
    <s v="P089"/>
    <s v="Golden Arc Homes"/>
    <x v="0"/>
    <x v="3"/>
    <s v="Furnished"/>
    <n v="45561"/>
    <n v="175012"/>
    <n v="2034"/>
    <s v="Available"/>
    <d v="2020-08-20T00:00:00"/>
    <x v="0"/>
    <n v="9769"/>
  </r>
  <r>
    <s v="P090"/>
    <s v="Nova Square"/>
    <x v="2"/>
    <x v="0"/>
    <s v="Semi"/>
    <n v="32881"/>
    <n v="151156"/>
    <n v="5103"/>
    <s v="Available"/>
    <d v="2018-01-26T00:00:00"/>
    <x v="4"/>
    <n v="8986"/>
  </r>
  <r>
    <s v="P091"/>
    <s v="SilverLeaf Apartments"/>
    <x v="1"/>
    <x v="3"/>
    <s v="Furnished"/>
    <n v="32855"/>
    <n v="108869"/>
    <n v="1648"/>
    <s v="Rented"/>
    <d v="2021-12-26T00:00:00"/>
    <x v="3"/>
    <n v="16134"/>
  </r>
  <r>
    <s v="P092"/>
    <s v="Nova Square"/>
    <x v="2"/>
    <x v="0"/>
    <s v="Semi"/>
    <n v="33913"/>
    <n v="202625"/>
    <n v="1838"/>
    <s v="Available"/>
    <d v="2022-04-27T00:00:00"/>
    <x v="1"/>
    <n v="12797"/>
  </r>
  <r>
    <s v="P093"/>
    <s v="Infinity Mall"/>
    <x v="2"/>
    <x v="4"/>
    <s v="Semi"/>
    <n v="32424"/>
    <n v="181538"/>
    <n v="5326"/>
    <s v="Available"/>
    <d v="2019-02-17T00:00:00"/>
    <x v="0"/>
    <n v="9118"/>
  </r>
  <r>
    <s v="P094"/>
    <s v="The Grand Nook"/>
    <x v="1"/>
    <x v="0"/>
    <s v="Semi"/>
    <n v="34301"/>
    <n v="97717"/>
    <n v="5281"/>
    <s v="Available"/>
    <d v="2020-12-23T00:00:00"/>
    <x v="3"/>
    <n v="2989"/>
  </r>
  <r>
    <s v="P095"/>
    <s v="The Opal Enclave"/>
    <x v="1"/>
    <x v="4"/>
    <s v="Semi"/>
    <n v="29504"/>
    <n v="172711"/>
    <n v="6316"/>
    <s v="Rented"/>
    <d v="2019-08-01T00:00:00"/>
    <x v="2"/>
    <n v="17270"/>
  </r>
  <r>
    <s v="P096"/>
    <s v="Sunrise Elite Homes"/>
    <x v="0"/>
    <x v="0"/>
    <s v="Semi"/>
    <n v="23887"/>
    <n v="230814"/>
    <n v="5426"/>
    <s v="Available"/>
    <d v="2023-01-08T00:00:00"/>
    <x v="1"/>
    <n v="3801"/>
  </r>
  <r>
    <s v="P097"/>
    <s v="Aura Heights"/>
    <x v="1"/>
    <x v="2"/>
    <s v="Unfurnished"/>
    <n v="43976"/>
    <n v="62729"/>
    <n v="2752"/>
    <s v="Rented"/>
    <d v="2019-06-21T00:00:00"/>
    <x v="0"/>
    <n v="4041"/>
  </r>
  <r>
    <s v="P098"/>
    <s v="Crown Central"/>
    <x v="2"/>
    <x v="2"/>
    <s v="Unfurnished"/>
    <n v="30612"/>
    <n v="196987"/>
    <n v="2242"/>
    <s v="Rented"/>
    <d v="2021-01-08T00:00:00"/>
    <x v="0"/>
    <n v="12168"/>
  </r>
  <r>
    <s v="P099"/>
    <s v="SilverLeaf Apartments"/>
    <x v="1"/>
    <x v="3"/>
    <s v="Furnished"/>
    <n v="42617"/>
    <n v="179320"/>
    <n v="3177"/>
    <s v="Rented"/>
    <d v="2020-09-23T00:00:00"/>
    <x v="0"/>
    <n v="5075"/>
  </r>
  <r>
    <s v="P100"/>
    <s v="Willow Crest Homes"/>
    <x v="0"/>
    <x v="4"/>
    <s v="Unfurnished"/>
    <n v="16158"/>
    <n v="223929"/>
    <n v="3697"/>
    <s v="Available"/>
    <d v="2022-04-28T00:00:00"/>
    <x v="1"/>
    <n v="15155"/>
  </r>
  <r>
    <s v="P101"/>
    <s v="Crown Central"/>
    <x v="2"/>
    <x v="2"/>
    <s v="Semi"/>
    <n v="19647"/>
    <n v="199117"/>
    <n v="3576"/>
    <s v="Rented"/>
    <d v="2018-01-24T00:00:00"/>
    <x v="2"/>
    <n v="2464"/>
  </r>
  <r>
    <s v="P102"/>
    <s v="Urban Plaza"/>
    <x v="2"/>
    <x v="1"/>
    <s v="Furnished"/>
    <n v="48132"/>
    <n v="111291"/>
    <n v="6158"/>
    <s v="Rented"/>
    <d v="2023-11-11T00:00:00"/>
    <x v="3"/>
    <n v="17479"/>
  </r>
  <r>
    <s v="P103"/>
    <s v="Crown Central"/>
    <x v="2"/>
    <x v="2"/>
    <s v="Unfurnished"/>
    <n v="47654"/>
    <n v="192215"/>
    <n v="6277"/>
    <s v="Rented"/>
    <d v="2023-12-14T00:00:00"/>
    <x v="4"/>
    <n v="1238"/>
  </r>
  <r>
    <s v="P104"/>
    <s v="Willow Crest Homes"/>
    <x v="0"/>
    <x v="4"/>
    <s v="Semi"/>
    <n v="28665"/>
    <n v="197646"/>
    <n v="2800"/>
    <s v="Rented"/>
    <d v="2019-11-24T00:00:00"/>
    <x v="1"/>
    <n v="19286"/>
  </r>
  <r>
    <s v="P105"/>
    <s v="Nova Square"/>
    <x v="2"/>
    <x v="0"/>
    <s v="Furnished"/>
    <n v="17957"/>
    <n v="233401"/>
    <n v="4020"/>
    <s v="Available"/>
    <d v="2020-09-03T00:00:00"/>
    <x v="2"/>
    <n v="723"/>
  </r>
  <r>
    <s v="P106"/>
    <s v="Nova Square"/>
    <x v="2"/>
    <x v="0"/>
    <s v="Furnished"/>
    <n v="24155"/>
    <n v="245252"/>
    <n v="6483"/>
    <s v="Rented"/>
    <d v="2022-12-17T00:00:00"/>
    <x v="4"/>
    <n v="9772"/>
  </r>
  <r>
    <s v="P107"/>
    <s v="Sunrise Elite Homes"/>
    <x v="0"/>
    <x v="0"/>
    <s v="Unfurnished"/>
    <n v="26243"/>
    <n v="125455"/>
    <n v="5178"/>
    <s v="Rented"/>
    <d v="2018-08-22T00:00:00"/>
    <x v="0"/>
    <n v="8068"/>
  </r>
  <r>
    <s v="P108"/>
    <s v="The Grand Nook"/>
    <x v="1"/>
    <x v="0"/>
    <s v="Unfurnished"/>
    <n v="36621"/>
    <n v="88054"/>
    <n v="5771"/>
    <s v="Rented"/>
    <d v="2018-03-26T00:00:00"/>
    <x v="0"/>
    <n v="8250"/>
  </r>
  <r>
    <s v="P109"/>
    <s v="Golden Arc Homes"/>
    <x v="0"/>
    <x v="3"/>
    <s v="Furnished"/>
    <n v="38978"/>
    <n v="109146"/>
    <n v="3130"/>
    <s v="Available"/>
    <d v="2018-08-22T00:00:00"/>
    <x v="0"/>
    <n v="17702"/>
  </r>
  <r>
    <s v="P110"/>
    <s v="The Avenue Mall"/>
    <x v="2"/>
    <x v="3"/>
    <s v="Unfurnished"/>
    <n v="30932"/>
    <n v="182741"/>
    <n v="5016"/>
    <s v="Available"/>
    <d v="2023-08-10T00:00:00"/>
    <x v="3"/>
    <n v="13201"/>
  </r>
  <r>
    <s v="P111"/>
    <s v="Sunrise Elite Homes"/>
    <x v="0"/>
    <x v="0"/>
    <s v="Semi"/>
    <n v="28616"/>
    <n v="65777"/>
    <n v="5850"/>
    <s v="Available"/>
    <d v="2023-05-18T00:00:00"/>
    <x v="0"/>
    <n v="9434"/>
  </r>
  <r>
    <s v="P112"/>
    <s v="Urban Plaza"/>
    <x v="2"/>
    <x v="1"/>
    <s v="Furnished"/>
    <n v="45018"/>
    <n v="162210"/>
    <n v="4826"/>
    <s v="Rented"/>
    <d v="2024-05-17T00:00:00"/>
    <x v="1"/>
    <n v="14707"/>
  </r>
  <r>
    <s v="P113"/>
    <s v="Serenity Springs"/>
    <x v="0"/>
    <x v="1"/>
    <s v="Semi"/>
    <n v="35351"/>
    <n v="150390"/>
    <n v="6156"/>
    <s v="Rented"/>
    <d v="2023-10-30T00:00:00"/>
    <x v="2"/>
    <n v="11627"/>
  </r>
  <r>
    <s v="P114"/>
    <s v="Crystal Crown Apartments"/>
    <x v="1"/>
    <x v="1"/>
    <s v="Semi"/>
    <n v="19241"/>
    <n v="183004"/>
    <n v="6966"/>
    <s v="Available"/>
    <d v="2024-10-24T00:00:00"/>
    <x v="2"/>
    <n v="19108"/>
  </r>
  <r>
    <s v="P115"/>
    <s v="SilverLeaf Apartments"/>
    <x v="1"/>
    <x v="3"/>
    <s v="Furnished"/>
    <n v="50745"/>
    <n v="204260"/>
    <n v="3480"/>
    <s v="Available"/>
    <d v="2022-05-22T00:00:00"/>
    <x v="2"/>
    <n v="19423"/>
  </r>
  <r>
    <s v="P116"/>
    <s v="Crystal Crown Apartments"/>
    <x v="1"/>
    <x v="1"/>
    <s v="Unfurnished"/>
    <n v="17208"/>
    <n v="183480"/>
    <n v="4751"/>
    <s v="Available"/>
    <d v="2022-02-27T00:00:00"/>
    <x v="1"/>
    <n v="9668"/>
  </r>
  <r>
    <s v="P117"/>
    <s v="Nova Square"/>
    <x v="2"/>
    <x v="0"/>
    <s v="Semi"/>
    <n v="46566"/>
    <n v="132151"/>
    <n v="2123"/>
    <s v="Available"/>
    <d v="2019-04-08T00:00:00"/>
    <x v="2"/>
    <n v="19466"/>
  </r>
  <r>
    <s v="P118"/>
    <s v="Infinity Mall"/>
    <x v="2"/>
    <x v="4"/>
    <s v="Unfurnished"/>
    <n v="33321"/>
    <n v="70453"/>
    <n v="2068"/>
    <s v="Available"/>
    <d v="2023-01-24T00:00:00"/>
    <x v="3"/>
    <n v="12062"/>
  </r>
  <r>
    <s v="P119"/>
    <s v="The Grand Nook"/>
    <x v="1"/>
    <x v="0"/>
    <s v="Unfurnished"/>
    <n v="20612"/>
    <n v="229416"/>
    <n v="2157"/>
    <s v="Available"/>
    <d v="2019-12-10T00:00:00"/>
    <x v="3"/>
    <n v="2770"/>
  </r>
  <r>
    <s v="P120"/>
    <s v="Azure Bloom Homes"/>
    <x v="0"/>
    <x v="2"/>
    <s v="Unfurnished"/>
    <n v="46183"/>
    <n v="75688"/>
    <n v="4102"/>
    <s v="Rented"/>
    <d v="2020-12-12T00:00:00"/>
    <x v="1"/>
    <n v="13859"/>
  </r>
  <r>
    <s v="P121"/>
    <s v="Urban Plaza"/>
    <x v="2"/>
    <x v="1"/>
    <s v="Furnished"/>
    <n v="40961"/>
    <n v="185634"/>
    <n v="5575"/>
    <s v="Rented"/>
    <d v="2023-04-09T00:00:00"/>
    <x v="0"/>
    <n v="10048"/>
  </r>
  <r>
    <s v="P122"/>
    <s v="Urban Plaza"/>
    <x v="2"/>
    <x v="1"/>
    <s v="Unfurnished"/>
    <n v="58780"/>
    <n v="79854"/>
    <n v="4588"/>
    <s v="Available"/>
    <d v="2018-09-12T00:00:00"/>
    <x v="1"/>
    <n v="7348"/>
  </r>
  <r>
    <s v="P123"/>
    <s v="Serenity Springs"/>
    <x v="0"/>
    <x v="1"/>
    <s v="Semi"/>
    <n v="33563"/>
    <n v="90100"/>
    <n v="5472"/>
    <s v="Available"/>
    <d v="2024-09-13T00:00:00"/>
    <x v="0"/>
    <n v="12476"/>
  </r>
  <r>
    <s v="P124"/>
    <s v="Golden Arc Homes"/>
    <x v="0"/>
    <x v="3"/>
    <s v="Furnished"/>
    <n v="36013"/>
    <n v="62400"/>
    <n v="2386"/>
    <s v="Rented"/>
    <d v="2018-12-16T00:00:00"/>
    <x v="2"/>
    <n v="2292"/>
  </r>
  <r>
    <s v="P125"/>
    <s v="Serenity Springs"/>
    <x v="0"/>
    <x v="1"/>
    <s v="Furnished"/>
    <n v="21456"/>
    <n v="213213"/>
    <n v="4291"/>
    <s v="Available"/>
    <d v="2021-09-26T00:00:00"/>
    <x v="2"/>
    <n v="12090"/>
  </r>
  <r>
    <s v="P126"/>
    <s v="Crystal Crown Apartments"/>
    <x v="1"/>
    <x v="1"/>
    <s v="Semi"/>
    <n v="54709"/>
    <n v="166978"/>
    <n v="3489"/>
    <s v="Rented"/>
    <d v="2020-05-18T00:00:00"/>
    <x v="2"/>
    <n v="14982"/>
  </r>
  <r>
    <s v="P127"/>
    <s v="The Opal Enclave"/>
    <x v="1"/>
    <x v="4"/>
    <s v="Unfurnished"/>
    <n v="34245"/>
    <n v="224286"/>
    <n v="2100"/>
    <s v="Rented"/>
    <d v="2022-11-16T00:00:00"/>
    <x v="2"/>
    <n v="5985"/>
  </r>
  <r>
    <s v="P128"/>
    <s v="The Avenue Mall"/>
    <x v="2"/>
    <x v="3"/>
    <s v="Unfurnished"/>
    <n v="34566"/>
    <n v="142297"/>
    <n v="5359"/>
    <s v="Available"/>
    <d v="2018-11-29T00:00:00"/>
    <x v="1"/>
    <n v="1516"/>
  </r>
  <r>
    <s v="P129"/>
    <s v="The Opal Enclave"/>
    <x v="1"/>
    <x v="4"/>
    <s v="Unfurnished"/>
    <n v="41491"/>
    <n v="141480"/>
    <n v="6114"/>
    <s v="Available"/>
    <d v="2024-03-09T00:00:00"/>
    <x v="0"/>
    <n v="18236"/>
  </r>
  <r>
    <s v="P130"/>
    <s v="Nova Square"/>
    <x v="2"/>
    <x v="0"/>
    <s v="Furnished"/>
    <n v="54462"/>
    <n v="106907"/>
    <n v="5206"/>
    <s v="Rented"/>
    <d v="2023-12-31T00:00:00"/>
    <x v="2"/>
    <n v="13812"/>
  </r>
  <r>
    <s v="P131"/>
    <s v="Aura Heights"/>
    <x v="1"/>
    <x v="2"/>
    <s v="Unfurnished"/>
    <n v="51178"/>
    <n v="236493"/>
    <n v="6889"/>
    <s v="Rented"/>
    <d v="2021-12-15T00:00:00"/>
    <x v="2"/>
    <n v="14144"/>
  </r>
  <r>
    <s v="P132"/>
    <s v="The Grand Nook"/>
    <x v="1"/>
    <x v="0"/>
    <s v="Furnished"/>
    <n v="29252"/>
    <n v="201624"/>
    <n v="2682"/>
    <s v="Rented"/>
    <d v="2018-03-01T00:00:00"/>
    <x v="2"/>
    <n v="11186"/>
  </r>
  <r>
    <s v="P133"/>
    <s v="Crown Central"/>
    <x v="2"/>
    <x v="2"/>
    <s v="Unfurnished"/>
    <n v="43979"/>
    <n v="168470"/>
    <n v="5986"/>
    <s v="Available"/>
    <d v="2019-06-04T00:00:00"/>
    <x v="2"/>
    <n v="7847"/>
  </r>
  <r>
    <s v="P134"/>
    <s v="Crystal Crown Apartments"/>
    <x v="1"/>
    <x v="1"/>
    <s v="Unfurnished"/>
    <n v="55361"/>
    <n v="138652"/>
    <n v="2166"/>
    <s v="Available"/>
    <d v="2022-11-18T00:00:00"/>
    <x v="1"/>
    <n v="1231"/>
  </r>
  <r>
    <s v="P135"/>
    <s v="Golden Arc Homes"/>
    <x v="0"/>
    <x v="3"/>
    <s v="Furnished"/>
    <n v="39525"/>
    <n v="212525"/>
    <n v="3506"/>
    <s v="Rented"/>
    <d v="2019-07-12T00:00:00"/>
    <x v="1"/>
    <n v="14192"/>
  </r>
  <r>
    <s v="P136"/>
    <s v="Sunrise Elite Homes"/>
    <x v="0"/>
    <x v="0"/>
    <s v="Furnished"/>
    <n v="34295"/>
    <n v="116674"/>
    <n v="1726"/>
    <s v="Available"/>
    <d v="2018-07-19T00:00:00"/>
    <x v="1"/>
    <n v="13775"/>
  </r>
  <r>
    <s v="P137"/>
    <s v="The Grand Nook"/>
    <x v="1"/>
    <x v="0"/>
    <s v="Semi"/>
    <n v="27898"/>
    <n v="128895"/>
    <n v="1772"/>
    <s v="Rented"/>
    <d v="2019-12-31T00:00:00"/>
    <x v="1"/>
    <n v="19301"/>
  </r>
  <r>
    <s v="P138"/>
    <s v="Aura Heights"/>
    <x v="1"/>
    <x v="2"/>
    <s v="Furnished"/>
    <n v="29690"/>
    <n v="236522"/>
    <n v="3735"/>
    <s v="Rented"/>
    <d v="2021-04-19T00:00:00"/>
    <x v="4"/>
    <n v="6550"/>
  </r>
  <r>
    <s v="P139"/>
    <s v="The Opal Enclave"/>
    <x v="1"/>
    <x v="4"/>
    <s v="Unfurnished"/>
    <n v="56418"/>
    <n v="90215"/>
    <n v="4103"/>
    <s v="Rented"/>
    <d v="2018-02-05T00:00:00"/>
    <x v="2"/>
    <n v="1791"/>
  </r>
  <r>
    <s v="P140"/>
    <s v="Crystal Crown Apartments"/>
    <x v="1"/>
    <x v="1"/>
    <s v="Furnished"/>
    <n v="47570"/>
    <n v="213749"/>
    <n v="2519"/>
    <s v="Rented"/>
    <d v="2018-02-28T00:00:00"/>
    <x v="0"/>
    <n v="13693"/>
  </r>
  <r>
    <s v="P141"/>
    <s v="Infinity Mall"/>
    <x v="2"/>
    <x v="4"/>
    <s v="Furnished"/>
    <n v="20684"/>
    <n v="88126"/>
    <n v="2942"/>
    <s v="Available"/>
    <d v="2023-04-13T00:00:00"/>
    <x v="2"/>
    <n v="10270"/>
  </r>
  <r>
    <s v="P142"/>
    <s v="Azure Bloom Homes"/>
    <x v="0"/>
    <x v="2"/>
    <s v="Furnished"/>
    <n v="32971"/>
    <n v="80605"/>
    <n v="3183"/>
    <s v="Available"/>
    <d v="2020-11-07T00:00:00"/>
    <x v="4"/>
    <n v="3996"/>
  </r>
  <r>
    <s v="P143"/>
    <s v="Golden Arc Homes"/>
    <x v="0"/>
    <x v="3"/>
    <s v="Furnished"/>
    <n v="15640"/>
    <n v="195694"/>
    <n v="6687"/>
    <s v="Rented"/>
    <d v="2022-09-05T00:00:00"/>
    <x v="1"/>
    <n v="9933"/>
  </r>
  <r>
    <s v="P144"/>
    <s v="Crown Central"/>
    <x v="2"/>
    <x v="2"/>
    <s v="Furnished"/>
    <n v="43647"/>
    <n v="212053"/>
    <n v="4206"/>
    <s v="Available"/>
    <d v="2024-07-27T00:00:00"/>
    <x v="4"/>
    <n v="9671"/>
  </r>
  <r>
    <s v="P145"/>
    <s v="Serenity Springs"/>
    <x v="0"/>
    <x v="1"/>
    <s v="Semi"/>
    <n v="50735"/>
    <n v="157882"/>
    <n v="3729"/>
    <s v="Rented"/>
    <d v="2023-04-17T00:00:00"/>
    <x v="0"/>
    <n v="6908"/>
  </r>
  <r>
    <s v="P146"/>
    <s v="The Avenue Mall"/>
    <x v="2"/>
    <x v="3"/>
    <s v="Semi"/>
    <n v="44101"/>
    <n v="87524"/>
    <n v="3137"/>
    <s v="Rented"/>
    <d v="2020-04-21T00:00:00"/>
    <x v="0"/>
    <n v="8869"/>
  </r>
  <r>
    <s v="P147"/>
    <s v="Willow Crest Homes"/>
    <x v="0"/>
    <x v="4"/>
    <s v="Furnished"/>
    <n v="53431"/>
    <n v="127218"/>
    <n v="4128"/>
    <s v="Rented"/>
    <d v="2019-03-18T00:00:00"/>
    <x v="1"/>
    <n v="15032"/>
  </r>
  <r>
    <s v="P148"/>
    <s v="Azure Bloom Homes"/>
    <x v="0"/>
    <x v="2"/>
    <s v="Unfurnished"/>
    <n v="23506"/>
    <n v="104151"/>
    <n v="6618"/>
    <s v="Rented"/>
    <d v="2024-09-10T00:00:00"/>
    <x v="1"/>
    <n v="16739"/>
  </r>
  <r>
    <s v="P149"/>
    <s v="Crown Central"/>
    <x v="2"/>
    <x v="2"/>
    <s v="Furnished"/>
    <n v="27467"/>
    <n v="187614"/>
    <n v="3197"/>
    <s v="Rented"/>
    <d v="2022-07-20T00:00:00"/>
    <x v="3"/>
    <n v="8853"/>
  </r>
  <r>
    <s v="P150"/>
    <s v="Azure Bloom Homes"/>
    <x v="0"/>
    <x v="2"/>
    <s v="Furnished"/>
    <n v="53367"/>
    <n v="151200"/>
    <n v="6937"/>
    <s v="Available"/>
    <d v="2020-06-28T00:00:00"/>
    <x v="2"/>
    <n v="9774"/>
  </r>
  <r>
    <s v="P151"/>
    <s v="Nova Square"/>
    <x v="2"/>
    <x v="0"/>
    <s v="Furnished"/>
    <n v="25466"/>
    <n v="95925"/>
    <n v="2063"/>
    <s v="Rented"/>
    <d v="2019-02-19T00:00:00"/>
    <x v="0"/>
    <n v="15365"/>
  </r>
  <r>
    <s v="P152"/>
    <s v="The Avenue Mall"/>
    <x v="2"/>
    <x v="3"/>
    <s v="Semi"/>
    <n v="45356"/>
    <n v="173076"/>
    <n v="5224"/>
    <s v="Available"/>
    <d v="2018-07-29T00:00:00"/>
    <x v="1"/>
    <n v="2590"/>
  </r>
  <r>
    <s v="P153"/>
    <s v="Willow Crest Homes"/>
    <x v="0"/>
    <x v="4"/>
    <s v="Furnished"/>
    <n v="34592"/>
    <n v="231836"/>
    <n v="5072"/>
    <s v="Available"/>
    <d v="2022-07-10T00:00:00"/>
    <x v="0"/>
    <n v="12600"/>
  </r>
  <r>
    <s v="P154"/>
    <s v="The Opal Enclave"/>
    <x v="1"/>
    <x v="4"/>
    <s v="Semi"/>
    <n v="30611"/>
    <n v="205560"/>
    <n v="4435"/>
    <s v="Rented"/>
    <d v="2024-03-07T00:00:00"/>
    <x v="2"/>
    <n v="14411"/>
  </r>
  <r>
    <s v="P155"/>
    <s v="Aura Heights"/>
    <x v="1"/>
    <x v="2"/>
    <s v="Unfurnished"/>
    <n v="33593"/>
    <n v="208185"/>
    <n v="4793"/>
    <s v="Rented"/>
    <d v="2020-03-31T00:00:00"/>
    <x v="3"/>
    <n v="2879"/>
  </r>
  <r>
    <s v="P156"/>
    <s v="The Avenue Mall"/>
    <x v="2"/>
    <x v="3"/>
    <s v="Semi"/>
    <n v="38922"/>
    <n v="127590"/>
    <n v="2847"/>
    <s v="Available"/>
    <d v="2021-11-10T00:00:00"/>
    <x v="0"/>
    <n v="11161"/>
  </r>
  <r>
    <s v="P157"/>
    <s v="Infinity Mall"/>
    <x v="2"/>
    <x v="4"/>
    <s v="Furnished"/>
    <n v="23487"/>
    <n v="198444"/>
    <n v="4725"/>
    <s v="Available"/>
    <d v="2023-02-28T00:00:00"/>
    <x v="4"/>
    <n v="2187"/>
  </r>
  <r>
    <s v="P158"/>
    <s v="Nova Square"/>
    <x v="2"/>
    <x v="0"/>
    <s v="Furnished"/>
    <n v="17716"/>
    <n v="80986"/>
    <n v="3778"/>
    <s v="Available"/>
    <d v="2019-10-14T00:00:00"/>
    <x v="4"/>
    <n v="8143"/>
  </r>
  <r>
    <s v="P159"/>
    <s v="Golden Arc Homes"/>
    <x v="0"/>
    <x v="3"/>
    <s v="Furnished"/>
    <n v="40659"/>
    <n v="188055"/>
    <n v="4329"/>
    <s v="Rented"/>
    <d v="2019-09-12T00:00:00"/>
    <x v="2"/>
    <n v="17754"/>
  </r>
  <r>
    <s v="P160"/>
    <s v="Crystal Crown Apartments"/>
    <x v="1"/>
    <x v="1"/>
    <s v="Unfurnished"/>
    <n v="57130"/>
    <n v="123990"/>
    <n v="3012"/>
    <s v="Rented"/>
    <d v="2018-03-07T00:00:00"/>
    <x v="2"/>
    <n v="2724"/>
  </r>
  <r>
    <s v="P161"/>
    <s v="The Opal Enclave"/>
    <x v="1"/>
    <x v="4"/>
    <s v="Semi"/>
    <n v="36591"/>
    <n v="214587"/>
    <n v="6857"/>
    <s v="Rented"/>
    <d v="2023-02-21T00:00:00"/>
    <x v="4"/>
    <n v="3347"/>
  </r>
  <r>
    <s v="P162"/>
    <s v="Willow Crest Homes"/>
    <x v="0"/>
    <x v="4"/>
    <s v="Unfurnished"/>
    <n v="47697"/>
    <n v="133148"/>
    <n v="2704"/>
    <s v="Available"/>
    <d v="2020-06-18T00:00:00"/>
    <x v="1"/>
    <n v="13038"/>
  </r>
  <r>
    <s v="P163"/>
    <s v="Crystal Crown Apartments"/>
    <x v="1"/>
    <x v="1"/>
    <s v="Furnished"/>
    <n v="39923"/>
    <n v="237685"/>
    <n v="2903"/>
    <s v="Available"/>
    <d v="2022-11-22T00:00:00"/>
    <x v="4"/>
    <n v="3707"/>
  </r>
  <r>
    <s v="P164"/>
    <s v="Azure Bloom Homes"/>
    <x v="0"/>
    <x v="2"/>
    <s v="Semi"/>
    <n v="50020"/>
    <n v="193469"/>
    <n v="3836"/>
    <s v="Rented"/>
    <d v="2023-07-04T00:00:00"/>
    <x v="2"/>
    <n v="16756"/>
  </r>
  <r>
    <s v="P165"/>
    <s v="The Avenue Mall"/>
    <x v="2"/>
    <x v="3"/>
    <s v="Unfurnished"/>
    <n v="31694"/>
    <n v="123870"/>
    <n v="4085"/>
    <s v="Available"/>
    <d v="2024-04-06T00:00:00"/>
    <x v="2"/>
    <n v="14028"/>
  </r>
  <r>
    <s v="P166"/>
    <s v="Golden Arc Homes"/>
    <x v="0"/>
    <x v="3"/>
    <s v="Semi"/>
    <n v="48346"/>
    <n v="198634"/>
    <n v="3040"/>
    <s v="Rented"/>
    <d v="2022-02-13T00:00:00"/>
    <x v="1"/>
    <n v="10681"/>
  </r>
  <r>
    <s v="P167"/>
    <s v="Nova Square"/>
    <x v="2"/>
    <x v="0"/>
    <s v="Furnished"/>
    <n v="44331"/>
    <n v="147907"/>
    <n v="5383"/>
    <s v="Rented"/>
    <d v="2020-12-13T00:00:00"/>
    <x v="0"/>
    <n v="13168"/>
  </r>
  <r>
    <s v="P168"/>
    <s v="SilverLeaf Apartments"/>
    <x v="1"/>
    <x v="3"/>
    <s v="Furnished"/>
    <n v="58069"/>
    <n v="214787"/>
    <n v="2811"/>
    <s v="Available"/>
    <d v="2019-04-28T00:00:00"/>
    <x v="3"/>
    <n v="16762"/>
  </r>
  <r>
    <s v="P169"/>
    <s v="Aura Heights"/>
    <x v="1"/>
    <x v="2"/>
    <s v="Unfurnished"/>
    <n v="23452"/>
    <n v="96642"/>
    <n v="2718"/>
    <s v="Rented"/>
    <d v="2023-11-14T00:00:00"/>
    <x v="4"/>
    <n v="13854"/>
  </r>
  <r>
    <s v="P170"/>
    <s v="Azure Bloom Homes"/>
    <x v="0"/>
    <x v="2"/>
    <s v="Furnished"/>
    <n v="44433"/>
    <n v="148076"/>
    <n v="5574"/>
    <s v="Available"/>
    <d v="2019-05-18T00:00:00"/>
    <x v="4"/>
    <n v="17991"/>
  </r>
  <r>
    <s v="P171"/>
    <s v="The Grand Nook"/>
    <x v="1"/>
    <x v="0"/>
    <s v="Unfurnished"/>
    <n v="29133"/>
    <n v="148501"/>
    <n v="4693"/>
    <s v="Available"/>
    <d v="2020-08-08T00:00:00"/>
    <x v="1"/>
    <n v="18324"/>
  </r>
  <r>
    <s v="P172"/>
    <s v="Infinity Mall"/>
    <x v="2"/>
    <x v="4"/>
    <s v="Unfurnished"/>
    <n v="21508"/>
    <n v="132805"/>
    <n v="6978"/>
    <s v="Rented"/>
    <d v="2022-05-03T00:00:00"/>
    <x v="0"/>
    <n v="4087"/>
  </r>
  <r>
    <s v="P173"/>
    <s v="Azure Bloom Homes"/>
    <x v="0"/>
    <x v="2"/>
    <s v="Furnished"/>
    <n v="18978"/>
    <n v="245441"/>
    <n v="5724"/>
    <s v="Available"/>
    <d v="2019-09-01T00:00:00"/>
    <x v="3"/>
    <n v="17526"/>
  </r>
  <r>
    <s v="P174"/>
    <s v="Crown Central"/>
    <x v="2"/>
    <x v="2"/>
    <s v="Unfurnished"/>
    <n v="45603"/>
    <n v="61667"/>
    <n v="6068"/>
    <s v="Rented"/>
    <d v="2018-02-25T00:00:00"/>
    <x v="4"/>
    <n v="16970"/>
  </r>
  <r>
    <s v="P175"/>
    <s v="The Grand Nook"/>
    <x v="1"/>
    <x v="0"/>
    <s v="Furnished"/>
    <n v="19164"/>
    <n v="245417"/>
    <n v="6546"/>
    <s v="Rented"/>
    <d v="2018-08-16T00:00:00"/>
    <x v="1"/>
    <n v="5121"/>
  </r>
  <r>
    <s v="P176"/>
    <s v="Sunrise Elite Homes"/>
    <x v="0"/>
    <x v="0"/>
    <s v="Semi"/>
    <n v="59085"/>
    <n v="82224"/>
    <n v="4296"/>
    <s v="Rented"/>
    <d v="2018-10-19T00:00:00"/>
    <x v="1"/>
    <n v="13792"/>
  </r>
  <r>
    <s v="P177"/>
    <s v="The Grand Nook"/>
    <x v="1"/>
    <x v="0"/>
    <s v="Unfurnished"/>
    <n v="40075"/>
    <n v="103039"/>
    <n v="2125"/>
    <s v="Rented"/>
    <d v="2019-10-21T00:00:00"/>
    <x v="3"/>
    <n v="7894"/>
  </r>
  <r>
    <s v="P178"/>
    <s v="Nova Square"/>
    <x v="2"/>
    <x v="0"/>
    <s v="Unfurnished"/>
    <n v="53796"/>
    <n v="166562"/>
    <n v="3876"/>
    <s v="Available"/>
    <d v="2022-01-08T00:00:00"/>
    <x v="4"/>
    <n v="12564"/>
  </r>
  <r>
    <s v="P179"/>
    <s v="Aura Heights"/>
    <x v="1"/>
    <x v="2"/>
    <s v="Unfurnished"/>
    <n v="37211"/>
    <n v="123468"/>
    <n v="5325"/>
    <s v="Available"/>
    <d v="2022-01-09T00:00:00"/>
    <x v="1"/>
    <n v="6983"/>
  </r>
  <r>
    <s v="P180"/>
    <s v="The Avenue Mall"/>
    <x v="2"/>
    <x v="3"/>
    <s v="Unfurnished"/>
    <n v="16620"/>
    <n v="142238"/>
    <n v="1965"/>
    <s v="Available"/>
    <d v="2018-08-15T00:00:00"/>
    <x v="3"/>
    <n v="17662"/>
  </r>
  <r>
    <s v="P181"/>
    <s v="Willow Crest Homes"/>
    <x v="0"/>
    <x v="4"/>
    <s v="Furnished"/>
    <n v="33033"/>
    <n v="154263"/>
    <n v="1700"/>
    <s v="Rented"/>
    <d v="2019-05-01T00:00:00"/>
    <x v="2"/>
    <n v="18348"/>
  </r>
  <r>
    <s v="P182"/>
    <s v="The Grand Nook"/>
    <x v="1"/>
    <x v="0"/>
    <s v="Semi"/>
    <n v="33493"/>
    <n v="164716"/>
    <n v="6918"/>
    <s v="Rented"/>
    <d v="2020-04-16T00:00:00"/>
    <x v="2"/>
    <n v="18731"/>
  </r>
  <r>
    <s v="P183"/>
    <s v="Aura Heights"/>
    <x v="1"/>
    <x v="2"/>
    <s v="Furnished"/>
    <n v="33846"/>
    <n v="131239"/>
    <n v="5799"/>
    <s v="Rented"/>
    <d v="2018-06-21T00:00:00"/>
    <x v="3"/>
    <n v="18429"/>
  </r>
  <r>
    <s v="P184"/>
    <s v="The Opal Enclave"/>
    <x v="1"/>
    <x v="4"/>
    <s v="Furnished"/>
    <n v="52123"/>
    <n v="81209"/>
    <n v="5985"/>
    <s v="Rented"/>
    <d v="2023-09-09T00:00:00"/>
    <x v="3"/>
    <n v="14613"/>
  </r>
  <r>
    <s v="P185"/>
    <s v="Nova Square"/>
    <x v="2"/>
    <x v="0"/>
    <s v="Semi"/>
    <n v="58856"/>
    <n v="241150"/>
    <n v="5823"/>
    <s v="Rented"/>
    <d v="2024-08-29T00:00:00"/>
    <x v="1"/>
    <n v="17350"/>
  </r>
  <r>
    <s v="P186"/>
    <s v="The Avenue Mall"/>
    <x v="2"/>
    <x v="3"/>
    <s v="Furnished"/>
    <n v="47136"/>
    <n v="219088"/>
    <n v="5201"/>
    <s v="Rented"/>
    <d v="2021-11-05T00:00:00"/>
    <x v="1"/>
    <n v="9925"/>
  </r>
  <r>
    <s v="P187"/>
    <s v="Sunrise Elite Homes"/>
    <x v="0"/>
    <x v="0"/>
    <s v="Unfurnished"/>
    <n v="33071"/>
    <n v="79000"/>
    <n v="3814"/>
    <s v="Available"/>
    <d v="2024-07-30T00:00:00"/>
    <x v="4"/>
    <n v="551"/>
  </r>
  <r>
    <s v="P188"/>
    <s v="The Opal Enclave"/>
    <x v="1"/>
    <x v="4"/>
    <s v="Unfurnished"/>
    <n v="47347"/>
    <n v="163035"/>
    <n v="2759"/>
    <s v="Available"/>
    <d v="2022-09-27T00:00:00"/>
    <x v="4"/>
    <n v="6092"/>
  </r>
  <r>
    <s v="P189"/>
    <s v="Nova Square"/>
    <x v="2"/>
    <x v="0"/>
    <s v="Semi"/>
    <n v="28979"/>
    <n v="206754"/>
    <n v="4808"/>
    <s v="Available"/>
    <d v="2020-06-19T00:00:00"/>
    <x v="4"/>
    <n v="5420"/>
  </r>
  <r>
    <s v="P190"/>
    <s v="Infinity Mall"/>
    <x v="2"/>
    <x v="4"/>
    <s v="Furnished"/>
    <n v="34882"/>
    <n v="148226"/>
    <n v="2718"/>
    <s v="Rented"/>
    <d v="2018-05-05T00:00:00"/>
    <x v="0"/>
    <n v="9117"/>
  </r>
  <r>
    <s v="P191"/>
    <s v="Crown Central"/>
    <x v="2"/>
    <x v="2"/>
    <s v="Semi"/>
    <n v="18219"/>
    <n v="104489"/>
    <n v="2101"/>
    <s v="Rented"/>
    <d v="2020-01-28T00:00:00"/>
    <x v="1"/>
    <n v="19287"/>
  </r>
  <r>
    <s v="P192"/>
    <s v="The Opal Enclave"/>
    <x v="1"/>
    <x v="4"/>
    <s v="Unfurnished"/>
    <n v="27246"/>
    <n v="100780"/>
    <n v="5616"/>
    <s v="Rented"/>
    <d v="2023-06-08T00:00:00"/>
    <x v="3"/>
    <n v="16162"/>
  </r>
  <r>
    <s v="P193"/>
    <s v="The Avenue Mall"/>
    <x v="2"/>
    <x v="3"/>
    <s v="Semi"/>
    <n v="30726"/>
    <n v="152315"/>
    <n v="4537"/>
    <s v="Available"/>
    <d v="2018-06-23T00:00:00"/>
    <x v="4"/>
    <n v="1357"/>
  </r>
  <r>
    <s v="P194"/>
    <s v="Sunrise Elite Homes"/>
    <x v="0"/>
    <x v="0"/>
    <s v="Semi"/>
    <n v="26520"/>
    <n v="125061"/>
    <n v="2843"/>
    <s v="Available"/>
    <d v="2023-07-18T00:00:00"/>
    <x v="3"/>
    <n v="3237"/>
  </r>
  <r>
    <s v="P195"/>
    <s v="The Opal Enclave"/>
    <x v="1"/>
    <x v="4"/>
    <s v="Semi"/>
    <n v="25958"/>
    <n v="238313"/>
    <n v="3406"/>
    <s v="Rented"/>
    <d v="2018-04-16T00:00:00"/>
    <x v="1"/>
    <n v="10139"/>
  </r>
  <r>
    <s v="P196"/>
    <s v="SilverLeaf Apartments"/>
    <x v="1"/>
    <x v="3"/>
    <s v="Unfurnished"/>
    <n v="35366"/>
    <n v="220579"/>
    <n v="3941"/>
    <s v="Rented"/>
    <d v="2024-09-11T00:00:00"/>
    <x v="4"/>
    <n v="16858"/>
  </r>
  <r>
    <s v="P197"/>
    <s v="Urban Plaza"/>
    <x v="2"/>
    <x v="1"/>
    <s v="Unfurnished"/>
    <n v="15072"/>
    <n v="100358"/>
    <n v="2080"/>
    <s v="Rented"/>
    <d v="2019-11-09T00:00:00"/>
    <x v="1"/>
    <n v="11012"/>
  </r>
  <r>
    <s v="P198"/>
    <s v="Serenity Springs"/>
    <x v="0"/>
    <x v="1"/>
    <s v="Semi"/>
    <n v="16906"/>
    <n v="126336"/>
    <n v="4855"/>
    <s v="Rented"/>
    <d v="2021-07-21T00:00:00"/>
    <x v="2"/>
    <n v="18620"/>
  </r>
  <r>
    <s v="P199"/>
    <s v="Serenity Springs"/>
    <x v="0"/>
    <x v="1"/>
    <s v="Semi"/>
    <n v="40947"/>
    <n v="102651"/>
    <n v="6631"/>
    <s v="Rented"/>
    <d v="2020-04-14T00:00:00"/>
    <x v="3"/>
    <n v="12720"/>
  </r>
  <r>
    <s v="P200"/>
    <s v="Crown Central"/>
    <x v="2"/>
    <x v="2"/>
    <s v="Unfurnished"/>
    <n v="45370"/>
    <n v="118872"/>
    <n v="3912"/>
    <s v="Available"/>
    <d v="2019-06-30T00:00:00"/>
    <x v="3"/>
    <n v="17434"/>
  </r>
  <r>
    <s v="P201"/>
    <s v="Golden Arc Homes"/>
    <x v="0"/>
    <x v="3"/>
    <s v="Furnished"/>
    <n v="56420"/>
    <n v="184737"/>
    <n v="6368"/>
    <s v="Rented"/>
    <d v="2022-10-04T00:00:00"/>
    <x v="2"/>
    <n v="10228"/>
  </r>
  <r>
    <s v="P202"/>
    <s v="The Grand Nook"/>
    <x v="1"/>
    <x v="0"/>
    <s v="Unfurnished"/>
    <n v="25863"/>
    <n v="133841"/>
    <n v="4444"/>
    <s v="Available"/>
    <d v="2018-11-28T00:00:00"/>
    <x v="3"/>
    <n v="12850"/>
  </r>
  <r>
    <s v="P203"/>
    <s v="The Grand Nook"/>
    <x v="1"/>
    <x v="0"/>
    <s v="Semi"/>
    <n v="18851"/>
    <n v="220049"/>
    <n v="4589"/>
    <s v="Rented"/>
    <d v="2018-10-22T00:00:00"/>
    <x v="4"/>
    <n v="11157"/>
  </r>
  <r>
    <s v="P204"/>
    <s v="Azure Bloom Homes"/>
    <x v="0"/>
    <x v="2"/>
    <s v="Furnished"/>
    <n v="21396"/>
    <n v="204741"/>
    <n v="6827"/>
    <s v="Available"/>
    <d v="2019-05-07T00:00:00"/>
    <x v="2"/>
    <n v="15938"/>
  </r>
  <r>
    <s v="P205"/>
    <s v="Crown Central"/>
    <x v="2"/>
    <x v="2"/>
    <s v="Semi"/>
    <n v="30045"/>
    <n v="160009"/>
    <n v="5040"/>
    <s v="Rented"/>
    <d v="2019-03-02T00:00:00"/>
    <x v="3"/>
    <n v="8400"/>
  </r>
  <r>
    <s v="P206"/>
    <s v="Urban Plaza"/>
    <x v="2"/>
    <x v="1"/>
    <s v="Furnished"/>
    <n v="26829"/>
    <n v="206335"/>
    <n v="6432"/>
    <s v="Rented"/>
    <d v="2019-04-28T00:00:00"/>
    <x v="4"/>
    <n v="14610"/>
  </r>
  <r>
    <s v="P207"/>
    <s v="Golden Arc Homes"/>
    <x v="0"/>
    <x v="3"/>
    <s v="Unfurnished"/>
    <n v="40177"/>
    <n v="151745"/>
    <n v="2729"/>
    <s v="Available"/>
    <d v="2019-05-18T00:00:00"/>
    <x v="1"/>
    <n v="12160"/>
  </r>
  <r>
    <s v="P208"/>
    <s v="Azure Bloom Homes"/>
    <x v="0"/>
    <x v="2"/>
    <s v="Unfurnished"/>
    <n v="32245"/>
    <n v="120004"/>
    <n v="1520"/>
    <s v="Available"/>
    <d v="2022-04-15T00:00:00"/>
    <x v="1"/>
    <n v="17133"/>
  </r>
  <r>
    <s v="P209"/>
    <s v="Infinity Mall"/>
    <x v="2"/>
    <x v="4"/>
    <s v="Unfurnished"/>
    <n v="52756"/>
    <n v="94071"/>
    <n v="6433"/>
    <s v="Rented"/>
    <d v="2021-04-20T00:00:00"/>
    <x v="0"/>
    <n v="14018"/>
  </r>
  <r>
    <s v="P210"/>
    <s v="Sunrise Elite Homes"/>
    <x v="0"/>
    <x v="0"/>
    <s v="Semi"/>
    <n v="55977"/>
    <n v="215457"/>
    <n v="4378"/>
    <s v="Available"/>
    <d v="2022-07-29T00:00:00"/>
    <x v="2"/>
    <n v="19070"/>
  </r>
  <r>
    <s v="P211"/>
    <s v="Aura Heights"/>
    <x v="1"/>
    <x v="2"/>
    <s v="Semi"/>
    <n v="34597"/>
    <n v="146831"/>
    <n v="4186"/>
    <s v="Available"/>
    <d v="2022-06-18T00:00:00"/>
    <x v="4"/>
    <n v="12479"/>
  </r>
  <r>
    <s v="P212"/>
    <s v="Urban Plaza"/>
    <x v="2"/>
    <x v="1"/>
    <s v="Unfurnished"/>
    <n v="40338"/>
    <n v="92522"/>
    <n v="6738"/>
    <s v="Rented"/>
    <d v="2023-06-10T00:00:00"/>
    <x v="1"/>
    <n v="17960"/>
  </r>
  <r>
    <s v="P213"/>
    <s v="Nova Square"/>
    <x v="2"/>
    <x v="0"/>
    <s v="Semi"/>
    <n v="36077"/>
    <n v="107636"/>
    <n v="5096"/>
    <s v="Rented"/>
    <d v="2018-09-07T00:00:00"/>
    <x v="0"/>
    <n v="13146"/>
  </r>
  <r>
    <s v="P214"/>
    <s v="The Grand Nook"/>
    <x v="1"/>
    <x v="0"/>
    <s v="Semi"/>
    <n v="52646"/>
    <n v="70687"/>
    <n v="3981"/>
    <s v="Rented"/>
    <d v="2022-09-26T00:00:00"/>
    <x v="2"/>
    <n v="12904"/>
  </r>
  <r>
    <s v="P215"/>
    <s v="The Avenue Mall"/>
    <x v="2"/>
    <x v="3"/>
    <s v="Furnished"/>
    <n v="48822"/>
    <n v="145570"/>
    <n v="5319"/>
    <s v="Rented"/>
    <d v="2020-10-13T00:00:00"/>
    <x v="4"/>
    <n v="7316"/>
  </r>
  <r>
    <s v="P216"/>
    <s v="Urban Plaza"/>
    <x v="2"/>
    <x v="1"/>
    <s v="Semi"/>
    <n v="59493"/>
    <n v="242957"/>
    <n v="7000"/>
    <s v="Available"/>
    <d v="2022-11-22T00:00:00"/>
    <x v="3"/>
    <n v="13300"/>
  </r>
  <r>
    <s v="P217"/>
    <s v="Sunrise Elite Homes"/>
    <x v="0"/>
    <x v="0"/>
    <s v="Furnished"/>
    <n v="34670"/>
    <n v="167246"/>
    <n v="4140"/>
    <s v="Rented"/>
    <d v="2024-05-19T00:00:00"/>
    <x v="0"/>
    <n v="8115"/>
  </r>
  <r>
    <s v="P218"/>
    <s v="Aura Heights"/>
    <x v="1"/>
    <x v="2"/>
    <s v="Unfurnished"/>
    <n v="41165"/>
    <n v="111024"/>
    <n v="5681"/>
    <s v="Available"/>
    <d v="2019-05-22T00:00:00"/>
    <x v="2"/>
    <n v="8053"/>
  </r>
  <r>
    <s v="P219"/>
    <s v="Serenity Springs"/>
    <x v="0"/>
    <x v="1"/>
    <s v="Semi"/>
    <n v="26130"/>
    <n v="102947"/>
    <n v="4163"/>
    <s v="Available"/>
    <d v="2023-12-05T00:00:00"/>
    <x v="4"/>
    <n v="19483"/>
  </r>
  <r>
    <s v="P220"/>
    <s v="The Avenue Mall"/>
    <x v="2"/>
    <x v="3"/>
    <s v="Furnished"/>
    <n v="16632"/>
    <n v="195456"/>
    <n v="5026"/>
    <s v="Available"/>
    <d v="2018-08-28T00:00:00"/>
    <x v="3"/>
    <n v="4341"/>
  </r>
  <r>
    <s v="P221"/>
    <s v="SilverLeaf Apartments"/>
    <x v="1"/>
    <x v="3"/>
    <s v="Furnished"/>
    <n v="43667"/>
    <n v="113877"/>
    <n v="6674"/>
    <s v="Rented"/>
    <d v="2019-11-04T00:00:00"/>
    <x v="0"/>
    <n v="6444"/>
  </r>
  <r>
    <s v="P222"/>
    <s v="Crown Central"/>
    <x v="2"/>
    <x v="2"/>
    <s v="Unfurnished"/>
    <n v="25118"/>
    <n v="246100"/>
    <n v="6706"/>
    <s v="Rented"/>
    <d v="2020-03-11T00:00:00"/>
    <x v="3"/>
    <n v="13083"/>
  </r>
  <r>
    <s v="P223"/>
    <s v="Sunrise Elite Homes"/>
    <x v="0"/>
    <x v="0"/>
    <s v="Furnished"/>
    <n v="52996"/>
    <n v="208663"/>
    <n v="4408"/>
    <s v="Available"/>
    <d v="2020-03-08T00:00:00"/>
    <x v="3"/>
    <n v="11563"/>
  </r>
  <r>
    <s v="P224"/>
    <s v="SilverLeaf Apartments"/>
    <x v="1"/>
    <x v="3"/>
    <s v="Furnished"/>
    <n v="31422"/>
    <n v="205331"/>
    <n v="2405"/>
    <s v="Available"/>
    <d v="2021-08-09T00:00:00"/>
    <x v="0"/>
    <n v="7835"/>
  </r>
  <r>
    <s v="P225"/>
    <s v="Sunrise Elite Homes"/>
    <x v="0"/>
    <x v="0"/>
    <s v="Furnished"/>
    <n v="33799"/>
    <n v="71662"/>
    <n v="6307"/>
    <s v="Available"/>
    <d v="2020-11-16T00:00:00"/>
    <x v="2"/>
    <n v="6110"/>
  </r>
  <r>
    <s v="P226"/>
    <s v="The Grand Nook"/>
    <x v="1"/>
    <x v="0"/>
    <s v="Furnished"/>
    <n v="55212"/>
    <n v="157402"/>
    <n v="4926"/>
    <s v="Rented"/>
    <d v="2022-10-05T00:00:00"/>
    <x v="3"/>
    <n v="14441"/>
  </r>
  <r>
    <s v="P227"/>
    <s v="Azure Bloom Homes"/>
    <x v="0"/>
    <x v="2"/>
    <s v="Semi"/>
    <n v="43945"/>
    <n v="176512"/>
    <n v="5823"/>
    <s v="Rented"/>
    <d v="2023-06-10T00:00:00"/>
    <x v="1"/>
    <n v="12616"/>
  </r>
  <r>
    <s v="P228"/>
    <s v="Crystal Crown Apartments"/>
    <x v="1"/>
    <x v="1"/>
    <s v="Semi"/>
    <n v="46984"/>
    <n v="170721"/>
    <n v="6746"/>
    <s v="Available"/>
    <d v="2021-07-22T00:00:00"/>
    <x v="1"/>
    <n v="11908"/>
  </r>
  <r>
    <s v="P229"/>
    <s v="Willow Crest Homes"/>
    <x v="0"/>
    <x v="4"/>
    <s v="Unfurnished"/>
    <n v="43523"/>
    <n v="133475"/>
    <n v="3502"/>
    <s v="Rented"/>
    <d v="2022-03-10T00:00:00"/>
    <x v="0"/>
    <n v="16339"/>
  </r>
  <r>
    <s v="P230"/>
    <s v="Infinity Mall"/>
    <x v="2"/>
    <x v="4"/>
    <s v="Unfurnished"/>
    <n v="42758"/>
    <n v="222172"/>
    <n v="4425"/>
    <s v="Rented"/>
    <d v="2020-12-07T00:00:00"/>
    <x v="3"/>
    <n v="8314"/>
  </r>
  <r>
    <s v="P231"/>
    <s v="Urban Plaza"/>
    <x v="2"/>
    <x v="1"/>
    <s v="Semi"/>
    <n v="29212"/>
    <n v="219209"/>
    <n v="4537"/>
    <s v="Available"/>
    <d v="2024-10-30T00:00:00"/>
    <x v="1"/>
    <n v="4134"/>
  </r>
  <r>
    <s v="P232"/>
    <s v="Sunrise Elite Homes"/>
    <x v="0"/>
    <x v="0"/>
    <s v="Furnished"/>
    <n v="18078"/>
    <n v="119591"/>
    <n v="6722"/>
    <s v="Rented"/>
    <d v="2023-01-21T00:00:00"/>
    <x v="1"/>
    <n v="14533"/>
  </r>
  <r>
    <s v="P233"/>
    <s v="Golden Arc Homes"/>
    <x v="0"/>
    <x v="3"/>
    <s v="Furnished"/>
    <n v="15340"/>
    <n v="217859"/>
    <n v="5063"/>
    <s v="Rented"/>
    <d v="2018-02-27T00:00:00"/>
    <x v="0"/>
    <n v="1701"/>
  </r>
  <r>
    <s v="P234"/>
    <s v="Infinity Mall"/>
    <x v="2"/>
    <x v="4"/>
    <s v="Furnished"/>
    <n v="36717"/>
    <n v="179126"/>
    <n v="2414"/>
    <s v="Rented"/>
    <d v="2022-08-25T00:00:00"/>
    <x v="0"/>
    <n v="13866"/>
  </r>
  <r>
    <s v="P235"/>
    <s v="Willow Crest Homes"/>
    <x v="0"/>
    <x v="4"/>
    <s v="Furnished"/>
    <n v="24393"/>
    <n v="249480"/>
    <n v="4618"/>
    <s v="Rented"/>
    <d v="2021-07-22T00:00:00"/>
    <x v="3"/>
    <n v="8565"/>
  </r>
  <r>
    <s v="P236"/>
    <s v="Sunrise Elite Homes"/>
    <x v="0"/>
    <x v="0"/>
    <s v="Unfurnished"/>
    <n v="44271"/>
    <n v="87878"/>
    <n v="6946"/>
    <s v="Rented"/>
    <d v="2021-08-11T00:00:00"/>
    <x v="4"/>
    <n v="12231"/>
  </r>
  <r>
    <s v="P237"/>
    <s v="Urban Plaza"/>
    <x v="2"/>
    <x v="1"/>
    <s v="Furnished"/>
    <n v="30011"/>
    <n v="145551"/>
    <n v="6338"/>
    <s v="Available"/>
    <d v="2020-10-29T00:00:00"/>
    <x v="0"/>
    <n v="8752"/>
  </r>
  <r>
    <s v="P238"/>
    <s v="SilverLeaf Apartments"/>
    <x v="1"/>
    <x v="3"/>
    <s v="Semi"/>
    <n v="37046"/>
    <n v="183123"/>
    <n v="2444"/>
    <s v="Available"/>
    <d v="2018-12-14T00:00:00"/>
    <x v="1"/>
    <n v="983"/>
  </r>
  <r>
    <s v="P239"/>
    <s v="Crystal Crown Apartments"/>
    <x v="1"/>
    <x v="1"/>
    <s v="Furnished"/>
    <n v="43003"/>
    <n v="106810"/>
    <n v="4726"/>
    <s v="Available"/>
    <d v="2020-09-18T00:00:00"/>
    <x v="1"/>
    <n v="14354"/>
  </r>
  <r>
    <s v="P240"/>
    <s v="The Avenue Mall"/>
    <x v="2"/>
    <x v="3"/>
    <s v="Unfurnished"/>
    <n v="38051"/>
    <n v="145450"/>
    <n v="6375"/>
    <s v="Available"/>
    <d v="2023-02-08T00:00:00"/>
    <x v="1"/>
    <n v="18111"/>
  </r>
  <r>
    <s v="P241"/>
    <s v="The Opal Enclave"/>
    <x v="1"/>
    <x v="4"/>
    <s v="Furnished"/>
    <n v="18323"/>
    <n v="60595"/>
    <n v="4834"/>
    <s v="Rented"/>
    <d v="2022-10-07T00:00:00"/>
    <x v="3"/>
    <n v="6706"/>
  </r>
  <r>
    <s v="P242"/>
    <s v="Crown Central"/>
    <x v="2"/>
    <x v="2"/>
    <s v="Unfurnished"/>
    <n v="19984"/>
    <n v="126220"/>
    <n v="5144"/>
    <s v="Rented"/>
    <d v="2018-12-09T00:00:00"/>
    <x v="2"/>
    <n v="6747"/>
  </r>
  <r>
    <s v="P243"/>
    <s v="The Avenue Mall"/>
    <x v="2"/>
    <x v="3"/>
    <s v="Semi"/>
    <n v="22865"/>
    <n v="115664"/>
    <n v="1731"/>
    <s v="Rented"/>
    <d v="2021-12-19T00:00:00"/>
    <x v="2"/>
    <n v="14953"/>
  </r>
  <r>
    <s v="P244"/>
    <s v="Urban Plaza"/>
    <x v="2"/>
    <x v="1"/>
    <s v="Furnished"/>
    <n v="31465"/>
    <n v="166273"/>
    <n v="4286"/>
    <s v="Available"/>
    <d v="2023-02-23T00:00:00"/>
    <x v="2"/>
    <n v="16273"/>
  </r>
  <r>
    <s v="P245"/>
    <s v="Golden Arc Homes"/>
    <x v="0"/>
    <x v="3"/>
    <s v="Semi"/>
    <n v="56910"/>
    <n v="150332"/>
    <n v="5752"/>
    <s v="Rented"/>
    <d v="2022-02-01T00:00:00"/>
    <x v="4"/>
    <n v="1426"/>
  </r>
  <r>
    <s v="P246"/>
    <s v="Azure Bloom Homes"/>
    <x v="0"/>
    <x v="2"/>
    <s v="Semi"/>
    <n v="52756"/>
    <n v="206466"/>
    <n v="3624"/>
    <s v="Available"/>
    <d v="2024-01-08T00:00:00"/>
    <x v="3"/>
    <n v="8644"/>
  </r>
  <r>
    <s v="P247"/>
    <s v="Serenity Springs"/>
    <x v="0"/>
    <x v="1"/>
    <s v="Furnished"/>
    <n v="42499"/>
    <n v="190358"/>
    <n v="2287"/>
    <s v="Available"/>
    <d v="2019-11-14T00:00:00"/>
    <x v="1"/>
    <n v="16687"/>
  </r>
  <r>
    <s v="P248"/>
    <s v="The Grand Nook"/>
    <x v="1"/>
    <x v="0"/>
    <s v="Unfurnished"/>
    <n v="39949"/>
    <n v="69329"/>
    <n v="5211"/>
    <s v="Rented"/>
    <d v="2023-01-13T00:00:00"/>
    <x v="2"/>
    <n v="748"/>
  </r>
  <r>
    <s v="P249"/>
    <s v="Urban Plaza"/>
    <x v="2"/>
    <x v="1"/>
    <s v="Semi"/>
    <n v="24911"/>
    <n v="223782"/>
    <n v="5137"/>
    <s v="Available"/>
    <d v="2022-10-27T00:00:00"/>
    <x v="0"/>
    <n v="2884"/>
  </r>
  <r>
    <s v="P250"/>
    <s v="Crystal Crown Apartments"/>
    <x v="1"/>
    <x v="1"/>
    <s v="Unfurnished"/>
    <n v="20510"/>
    <n v="235388"/>
    <n v="3448"/>
    <s v="Available"/>
    <d v="2020-01-01T00:00:00"/>
    <x v="2"/>
    <n v="1462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001"/>
    <s v="Tenant_1"/>
    <s v="9862048789"/>
    <s v="Student"/>
    <n v="1"/>
    <x v="0"/>
    <d v="2024-03-27T00:00:00"/>
    <x v="0"/>
    <n v="58948"/>
    <x v="0"/>
    <x v="0"/>
    <x v="0"/>
  </r>
  <r>
    <s v="T002"/>
    <s v="Tenant_2"/>
    <s v="9854864973"/>
    <s v="IT"/>
    <n v="3"/>
    <x v="0"/>
    <d v="2024-08-18T00:00:00"/>
    <x v="1"/>
    <n v="27495"/>
    <x v="1"/>
    <x v="1"/>
    <x v="1"/>
  </r>
  <r>
    <s v="T003"/>
    <s v="Tenant_3"/>
    <s v="9366524270"/>
    <s v="Business"/>
    <n v="3"/>
    <x v="1"/>
    <d v="2024-11-26T00:00:00"/>
    <x v="2"/>
    <n v="12487"/>
    <x v="1"/>
    <x v="1"/>
    <x v="2"/>
  </r>
  <r>
    <s v="T004"/>
    <s v="Tenant_4"/>
    <s v="9742052773"/>
    <s v="Business"/>
    <n v="1"/>
    <x v="1"/>
    <d v="2024-07-03T00:00:00"/>
    <x v="3"/>
    <n v="9618"/>
    <x v="2"/>
    <x v="2"/>
    <x v="3"/>
  </r>
  <r>
    <s v="T005"/>
    <s v="Tenant_5"/>
    <s v="9882367068"/>
    <s v="Business"/>
    <n v="6"/>
    <x v="1"/>
    <d v="2025-02-20T00:00:00"/>
    <x v="4"/>
    <n v="10477"/>
    <x v="2"/>
    <x v="1"/>
    <x v="4"/>
  </r>
  <r>
    <s v="T006"/>
    <s v="Tenant_6"/>
    <s v="9759413977"/>
    <s v="Business"/>
    <n v="1"/>
    <x v="0"/>
    <d v="2024-07-05T00:00:00"/>
    <x v="3"/>
    <n v="14357"/>
    <x v="1"/>
    <x v="0"/>
    <x v="3"/>
  </r>
  <r>
    <s v="T007"/>
    <s v="Tenant_7"/>
    <s v="9522260663"/>
    <s v="HR"/>
    <n v="3"/>
    <x v="1"/>
    <d v="2024-02-05T00:00:00"/>
    <x v="5"/>
    <n v="9137"/>
    <x v="0"/>
    <x v="2"/>
    <x v="4"/>
  </r>
  <r>
    <s v="T008"/>
    <s v="Tenant_8"/>
    <s v="9414613903"/>
    <s v="Business"/>
    <n v="5"/>
    <x v="1"/>
    <d v="2024-01-06T00:00:00"/>
    <x v="6"/>
    <n v="48403"/>
    <x v="1"/>
    <x v="0"/>
    <x v="5"/>
  </r>
  <r>
    <s v="T009"/>
    <s v="Tenant_9"/>
    <s v="9703690296"/>
    <s v="Student"/>
    <n v="2"/>
    <x v="1"/>
    <d v="2024-08-06T00:00:00"/>
    <x v="1"/>
    <n v="44959"/>
    <x v="2"/>
    <x v="2"/>
    <x v="1"/>
  </r>
  <r>
    <s v="T010"/>
    <s v="Tenant_10"/>
    <s v="9196236000"/>
    <s v="Business"/>
    <n v="5"/>
    <x v="0"/>
    <d v="2024-09-05T00:00:00"/>
    <x v="7"/>
    <n v="34526"/>
    <x v="0"/>
    <x v="1"/>
    <x v="6"/>
  </r>
  <r>
    <s v="T011"/>
    <s v="Tenant_11"/>
    <s v="9955194197"/>
    <s v="Business"/>
    <n v="6"/>
    <x v="1"/>
    <d v="2024-10-08T00:00:00"/>
    <x v="8"/>
    <n v="27326"/>
    <x v="0"/>
    <x v="1"/>
    <x v="7"/>
  </r>
  <r>
    <s v="T012"/>
    <s v="Tenant_12"/>
    <s v="9511335671"/>
    <s v="Business"/>
    <n v="1"/>
    <x v="0"/>
    <d v="2024-06-12T00:00:00"/>
    <x v="9"/>
    <n v="16902"/>
    <x v="1"/>
    <x v="1"/>
    <x v="8"/>
  </r>
  <r>
    <s v="T013"/>
    <s v="Tenant_13"/>
    <s v="9116422788"/>
    <s v="IT"/>
    <n v="3"/>
    <x v="1"/>
    <d v="2024-12-15T00:00:00"/>
    <x v="10"/>
    <n v="29012"/>
    <x v="0"/>
    <x v="0"/>
    <x v="9"/>
  </r>
  <r>
    <s v="T014"/>
    <s v="Tenant_14"/>
    <s v="9616736928"/>
    <s v="IT"/>
    <n v="4"/>
    <x v="1"/>
    <d v="2024-07-17T00:00:00"/>
    <x v="3"/>
    <n v="44661"/>
    <x v="2"/>
    <x v="1"/>
    <x v="3"/>
  </r>
  <r>
    <s v="T015"/>
    <s v="Tenant_15"/>
    <s v="9918044144"/>
    <s v="HR"/>
    <n v="5"/>
    <x v="1"/>
    <d v="2025-02-13T00:00:00"/>
    <x v="4"/>
    <n v="48205"/>
    <x v="2"/>
    <x v="2"/>
    <x v="4"/>
  </r>
  <r>
    <s v="T016"/>
    <s v="Tenant_16"/>
    <s v="9300012891"/>
    <s v="Doctor"/>
    <n v="6"/>
    <x v="1"/>
    <d v="2024-11-14T00:00:00"/>
    <x v="2"/>
    <n v="34575"/>
    <x v="2"/>
    <x v="2"/>
    <x v="2"/>
  </r>
  <r>
    <s v="T017"/>
    <s v="Tenant_17"/>
    <s v="9374063369"/>
    <s v="Business"/>
    <n v="1"/>
    <x v="1"/>
    <d v="2024-02-28T00:00:00"/>
    <x v="5"/>
    <n v="33559"/>
    <x v="0"/>
    <x v="2"/>
    <x v="4"/>
  </r>
  <r>
    <s v="T018"/>
    <s v="Tenant_18"/>
    <s v="9962845146"/>
    <s v="HR"/>
    <n v="5"/>
    <x v="0"/>
    <d v="2024-09-26T00:00:00"/>
    <x v="7"/>
    <n v="38548"/>
    <x v="2"/>
    <x v="0"/>
    <x v="6"/>
  </r>
  <r>
    <s v="T019"/>
    <s v="Tenant_19"/>
    <s v="9317304652"/>
    <s v="Doctor"/>
    <n v="5"/>
    <x v="0"/>
    <d v="2024-11-03T00:00:00"/>
    <x v="2"/>
    <n v="46170"/>
    <x v="0"/>
    <x v="1"/>
    <x v="2"/>
  </r>
  <r>
    <s v="T020"/>
    <s v="Tenant_20"/>
    <s v="9771323368"/>
    <s v="Doctor"/>
    <n v="4"/>
    <x v="0"/>
    <d v="2024-07-13T00:00:00"/>
    <x v="3"/>
    <n v="14919"/>
    <x v="2"/>
    <x v="1"/>
    <x v="3"/>
  </r>
  <r>
    <s v="T021"/>
    <s v="Tenant_21"/>
    <s v="9405056799"/>
    <s v="Business"/>
    <n v="2"/>
    <x v="0"/>
    <d v="2024-05-04T00:00:00"/>
    <x v="11"/>
    <n v="37082"/>
    <x v="0"/>
    <x v="1"/>
    <x v="10"/>
  </r>
  <r>
    <s v="T022"/>
    <s v="Tenant_22"/>
    <s v="9495251503"/>
    <s v="Student"/>
    <n v="5"/>
    <x v="0"/>
    <d v="2024-03-27T00:00:00"/>
    <x v="0"/>
    <n v="50368"/>
    <x v="0"/>
    <x v="1"/>
    <x v="0"/>
  </r>
  <r>
    <s v="T023"/>
    <s v="Tenant_23"/>
    <s v="9964718575"/>
    <s v="HR"/>
    <n v="2"/>
    <x v="0"/>
    <d v="2024-05-03T00:00:00"/>
    <x v="11"/>
    <n v="35222"/>
    <x v="1"/>
    <x v="2"/>
    <x v="10"/>
  </r>
  <r>
    <s v="T024"/>
    <s v="Tenant_24"/>
    <s v="9365269390"/>
    <s v="HR"/>
    <n v="2"/>
    <x v="0"/>
    <d v="2025-02-02T00:00:00"/>
    <x v="4"/>
    <n v="32703"/>
    <x v="0"/>
    <x v="0"/>
    <x v="4"/>
  </r>
  <r>
    <s v="T025"/>
    <s v="Tenant_25"/>
    <s v="9114597428"/>
    <s v="Business"/>
    <n v="4"/>
    <x v="0"/>
    <d v="2024-06-08T00:00:00"/>
    <x v="9"/>
    <n v="41723"/>
    <x v="2"/>
    <x v="2"/>
    <x v="8"/>
  </r>
  <r>
    <s v="T026"/>
    <s v="Tenant_26"/>
    <s v="9886749691"/>
    <s v="Doctor"/>
    <n v="5"/>
    <x v="1"/>
    <d v="2024-07-21T00:00:00"/>
    <x v="3"/>
    <n v="52605"/>
    <x v="2"/>
    <x v="1"/>
    <x v="3"/>
  </r>
  <r>
    <s v="T027"/>
    <s v="Tenant_27"/>
    <s v="9431905929"/>
    <s v="Business"/>
    <n v="3"/>
    <x v="0"/>
    <d v="2024-06-17T00:00:00"/>
    <x v="9"/>
    <n v="40112"/>
    <x v="0"/>
    <x v="1"/>
    <x v="8"/>
  </r>
  <r>
    <s v="T028"/>
    <s v="Tenant_28"/>
    <s v="9315816895"/>
    <s v="Business"/>
    <n v="1"/>
    <x v="0"/>
    <d v="2024-06-24T00:00:00"/>
    <x v="9"/>
    <n v="18761"/>
    <x v="1"/>
    <x v="1"/>
    <x v="8"/>
  </r>
  <r>
    <s v="T029"/>
    <s v="Tenant_29"/>
    <s v="9131598803"/>
    <s v="Doctor"/>
    <n v="3"/>
    <x v="0"/>
    <d v="2024-03-03T00:00:00"/>
    <x v="0"/>
    <n v="15067"/>
    <x v="0"/>
    <x v="2"/>
    <x v="0"/>
  </r>
  <r>
    <s v="T030"/>
    <s v="Tenant_30"/>
    <s v="9765674384"/>
    <s v="HR"/>
    <n v="2"/>
    <x v="1"/>
    <d v="2024-09-28T00:00:00"/>
    <x v="7"/>
    <n v="10567"/>
    <x v="0"/>
    <x v="1"/>
    <x v="6"/>
  </r>
  <r>
    <s v="T031"/>
    <s v="Tenant_31"/>
    <s v="9197993166"/>
    <s v="Business"/>
    <n v="6"/>
    <x v="1"/>
    <d v="2024-08-31T00:00:00"/>
    <x v="1"/>
    <n v="42064"/>
    <x v="1"/>
    <x v="0"/>
    <x v="1"/>
  </r>
  <r>
    <s v="T032"/>
    <s v="Tenant_32"/>
    <s v="9587238808"/>
    <s v="HR"/>
    <n v="4"/>
    <x v="1"/>
    <d v="2025-03-10T00:00:00"/>
    <x v="12"/>
    <n v="9847"/>
    <x v="0"/>
    <x v="1"/>
    <x v="0"/>
  </r>
  <r>
    <s v="T033"/>
    <s v="Tenant_33"/>
    <s v="9450339605"/>
    <s v="Student"/>
    <n v="3"/>
    <x v="0"/>
    <d v="2024-09-30T00:00:00"/>
    <x v="7"/>
    <n v="16933"/>
    <x v="2"/>
    <x v="1"/>
    <x v="6"/>
  </r>
  <r>
    <s v="T034"/>
    <s v="Tenant_34"/>
    <s v="9831358513"/>
    <s v="HR"/>
    <n v="2"/>
    <x v="0"/>
    <d v="2024-08-20T00:00:00"/>
    <x v="1"/>
    <n v="36643"/>
    <x v="2"/>
    <x v="2"/>
    <x v="1"/>
  </r>
  <r>
    <s v="T035"/>
    <s v="Tenant_35"/>
    <s v="9266594938"/>
    <s v="Doctor"/>
    <n v="5"/>
    <x v="1"/>
    <d v="2024-11-26T00:00:00"/>
    <x v="2"/>
    <n v="42129"/>
    <x v="0"/>
    <x v="0"/>
    <x v="2"/>
  </r>
  <r>
    <s v="T036"/>
    <s v="Tenant_36"/>
    <s v="9518646980"/>
    <s v="HR"/>
    <n v="1"/>
    <x v="0"/>
    <d v="2024-02-21T00:00:00"/>
    <x v="5"/>
    <n v="47914"/>
    <x v="0"/>
    <x v="1"/>
    <x v="4"/>
  </r>
  <r>
    <s v="T037"/>
    <s v="Tenant_37"/>
    <s v="9960685473"/>
    <s v="HR"/>
    <n v="3"/>
    <x v="0"/>
    <d v="2024-09-03T00:00:00"/>
    <x v="7"/>
    <n v="23176"/>
    <x v="1"/>
    <x v="1"/>
    <x v="6"/>
  </r>
  <r>
    <s v="T038"/>
    <s v="Tenant_38"/>
    <s v="9649571524"/>
    <s v="Doctor"/>
    <n v="4"/>
    <x v="1"/>
    <d v="2024-07-19T00:00:00"/>
    <x v="3"/>
    <n v="25422"/>
    <x v="1"/>
    <x v="2"/>
    <x v="3"/>
  </r>
  <r>
    <s v="T039"/>
    <s v="Tenant_39"/>
    <s v="9451420669"/>
    <s v="HR"/>
    <n v="6"/>
    <x v="1"/>
    <d v="2024-01-29T00:00:00"/>
    <x v="6"/>
    <n v="25674"/>
    <x v="0"/>
    <x v="0"/>
    <x v="5"/>
  </r>
  <r>
    <s v="T040"/>
    <s v="Tenant_40"/>
    <s v="9996663908"/>
    <s v="HR"/>
    <n v="1"/>
    <x v="1"/>
    <d v="2024-01-08T00:00:00"/>
    <x v="6"/>
    <n v="48419"/>
    <x v="1"/>
    <x v="1"/>
    <x v="5"/>
  </r>
  <r>
    <s v="T041"/>
    <s v="Tenant_41"/>
    <s v="9678239207"/>
    <s v="Doctor"/>
    <n v="4"/>
    <x v="1"/>
    <d v="2024-06-01T00:00:00"/>
    <x v="9"/>
    <n v="28354"/>
    <x v="0"/>
    <x v="0"/>
    <x v="8"/>
  </r>
  <r>
    <s v="T042"/>
    <s v="Tenant_42"/>
    <s v="9665352124"/>
    <s v="IT"/>
    <n v="4"/>
    <x v="1"/>
    <d v="2024-05-23T00:00:00"/>
    <x v="11"/>
    <n v="42202"/>
    <x v="2"/>
    <x v="0"/>
    <x v="10"/>
  </r>
  <r>
    <s v="T043"/>
    <s v="Tenant_43"/>
    <s v="9709842310"/>
    <s v="Doctor"/>
    <n v="4"/>
    <x v="1"/>
    <d v="2025-02-14T00:00:00"/>
    <x v="4"/>
    <n v="30884"/>
    <x v="1"/>
    <x v="2"/>
    <x v="4"/>
  </r>
  <r>
    <s v="T044"/>
    <s v="Tenant_44"/>
    <s v="9972345468"/>
    <s v="HR"/>
    <n v="2"/>
    <x v="1"/>
    <d v="2024-12-26T00:00:00"/>
    <x v="10"/>
    <n v="36254"/>
    <x v="0"/>
    <x v="2"/>
    <x v="9"/>
  </r>
  <r>
    <s v="T045"/>
    <s v="Tenant_45"/>
    <s v="9806113952"/>
    <s v="HR"/>
    <n v="2"/>
    <x v="0"/>
    <d v="2024-06-02T00:00:00"/>
    <x v="9"/>
    <n v="33453"/>
    <x v="0"/>
    <x v="1"/>
    <x v="8"/>
  </r>
  <r>
    <s v="T046"/>
    <s v="Tenant_46"/>
    <s v="9174571103"/>
    <s v="Doctor"/>
    <n v="5"/>
    <x v="1"/>
    <d v="2024-01-19T00:00:00"/>
    <x v="6"/>
    <n v="12062"/>
    <x v="1"/>
    <x v="2"/>
    <x v="5"/>
  </r>
  <r>
    <s v="T047"/>
    <s v="Tenant_47"/>
    <s v="9408831612"/>
    <s v="IT"/>
    <n v="2"/>
    <x v="0"/>
    <d v="2025-02-18T00:00:00"/>
    <x v="4"/>
    <n v="52200"/>
    <x v="2"/>
    <x v="0"/>
    <x v="4"/>
  </r>
  <r>
    <s v="T048"/>
    <s v="Tenant_48"/>
    <s v="9403338626"/>
    <s v="Student"/>
    <n v="5"/>
    <x v="1"/>
    <d v="2025-02-25T00:00:00"/>
    <x v="4"/>
    <n v="15764"/>
    <x v="1"/>
    <x v="2"/>
    <x v="4"/>
  </r>
  <r>
    <s v="T049"/>
    <s v="Tenant_49"/>
    <s v="9391517528"/>
    <s v="HR"/>
    <n v="6"/>
    <x v="1"/>
    <d v="2024-05-21T00:00:00"/>
    <x v="11"/>
    <n v="10159"/>
    <x v="2"/>
    <x v="1"/>
    <x v="10"/>
  </r>
  <r>
    <s v="T050"/>
    <s v="Tenant_50"/>
    <s v="9190200452"/>
    <s v="Student"/>
    <n v="3"/>
    <x v="1"/>
    <d v="2024-02-05T00:00:00"/>
    <x v="5"/>
    <n v="17246"/>
    <x v="1"/>
    <x v="2"/>
    <x v="4"/>
  </r>
  <r>
    <s v="T051"/>
    <s v="Tenant_51"/>
    <s v="9698597882"/>
    <s v="HR"/>
    <n v="5"/>
    <x v="1"/>
    <d v="2024-04-28T00:00:00"/>
    <x v="13"/>
    <n v="53292"/>
    <x v="2"/>
    <x v="1"/>
    <x v="11"/>
  </r>
  <r>
    <s v="T052"/>
    <s v="Tenant_52"/>
    <s v="9722363774"/>
    <s v="Student"/>
    <n v="3"/>
    <x v="0"/>
    <d v="2024-04-01T00:00:00"/>
    <x v="13"/>
    <n v="20920"/>
    <x v="2"/>
    <x v="1"/>
    <x v="11"/>
  </r>
  <r>
    <s v="T053"/>
    <s v="Tenant_53"/>
    <s v="9106132086"/>
    <s v="Student"/>
    <n v="3"/>
    <x v="0"/>
    <d v="2024-08-19T00:00:00"/>
    <x v="1"/>
    <n v="11097"/>
    <x v="1"/>
    <x v="1"/>
    <x v="1"/>
  </r>
  <r>
    <s v="T054"/>
    <s v="Tenant_54"/>
    <s v="9405692495"/>
    <s v="Student"/>
    <n v="5"/>
    <x v="0"/>
    <d v="2024-09-30T00:00:00"/>
    <x v="7"/>
    <n v="50211"/>
    <x v="2"/>
    <x v="2"/>
    <x v="6"/>
  </r>
  <r>
    <s v="T055"/>
    <s v="Tenant_55"/>
    <s v="9633039447"/>
    <s v="IT"/>
    <n v="3"/>
    <x v="0"/>
    <d v="2025-02-21T00:00:00"/>
    <x v="4"/>
    <n v="23733"/>
    <x v="2"/>
    <x v="0"/>
    <x v="4"/>
  </r>
  <r>
    <s v="T056"/>
    <s v="Tenant_56"/>
    <s v="9200393614"/>
    <s v="Student"/>
    <n v="5"/>
    <x v="1"/>
    <d v="2024-06-01T00:00:00"/>
    <x v="9"/>
    <n v="49661"/>
    <x v="1"/>
    <x v="1"/>
    <x v="8"/>
  </r>
  <r>
    <s v="T057"/>
    <s v="Tenant_57"/>
    <s v="9124781800"/>
    <s v="Business"/>
    <n v="6"/>
    <x v="1"/>
    <d v="2024-12-22T00:00:00"/>
    <x v="10"/>
    <n v="44263"/>
    <x v="0"/>
    <x v="2"/>
    <x v="9"/>
  </r>
  <r>
    <s v="T058"/>
    <s v="Tenant_58"/>
    <s v="9339316654"/>
    <s v="HR"/>
    <n v="3"/>
    <x v="1"/>
    <d v="2024-01-30T00:00:00"/>
    <x v="6"/>
    <n v="18179"/>
    <x v="0"/>
    <x v="1"/>
    <x v="5"/>
  </r>
  <r>
    <s v="T059"/>
    <s v="Tenant_59"/>
    <s v="9250145100"/>
    <s v="Doctor"/>
    <n v="3"/>
    <x v="1"/>
    <d v="2024-03-14T00:00:00"/>
    <x v="0"/>
    <n v="20754"/>
    <x v="0"/>
    <x v="0"/>
    <x v="0"/>
  </r>
  <r>
    <s v="T060"/>
    <s v="Tenant_60"/>
    <s v="9152717798"/>
    <s v="Student"/>
    <n v="5"/>
    <x v="0"/>
    <d v="2025-02-06T00:00:00"/>
    <x v="4"/>
    <n v="59926"/>
    <x v="2"/>
    <x v="1"/>
    <x v="4"/>
  </r>
  <r>
    <s v="T061"/>
    <s v="Tenant_61"/>
    <s v="9712522529"/>
    <s v="Doctor"/>
    <n v="6"/>
    <x v="0"/>
    <d v="2024-10-18T00:00:00"/>
    <x v="8"/>
    <n v="24157"/>
    <x v="1"/>
    <x v="1"/>
    <x v="7"/>
  </r>
  <r>
    <s v="T062"/>
    <s v="Tenant_62"/>
    <s v="9951753062"/>
    <s v="Doctor"/>
    <n v="5"/>
    <x v="0"/>
    <d v="2024-06-29T00:00:00"/>
    <x v="9"/>
    <n v="45199"/>
    <x v="2"/>
    <x v="2"/>
    <x v="8"/>
  </r>
  <r>
    <s v="T063"/>
    <s v="Tenant_63"/>
    <s v="9249956407"/>
    <s v="HR"/>
    <n v="2"/>
    <x v="0"/>
    <d v="2024-02-03T00:00:00"/>
    <x v="5"/>
    <n v="54084"/>
    <x v="1"/>
    <x v="0"/>
    <x v="4"/>
  </r>
  <r>
    <s v="T064"/>
    <s v="Tenant_64"/>
    <s v="9895027859"/>
    <s v="Doctor"/>
    <n v="6"/>
    <x v="0"/>
    <d v="2025-02-07T00:00:00"/>
    <x v="4"/>
    <n v="14148"/>
    <x v="1"/>
    <x v="2"/>
    <x v="4"/>
  </r>
  <r>
    <s v="T065"/>
    <s v="Tenant_65"/>
    <s v="9502980762"/>
    <s v="HR"/>
    <n v="2"/>
    <x v="0"/>
    <d v="2024-12-12T00:00:00"/>
    <x v="10"/>
    <n v="12388"/>
    <x v="0"/>
    <x v="1"/>
    <x v="9"/>
  </r>
  <r>
    <s v="T066"/>
    <s v="Tenant_66"/>
    <s v="9822001488"/>
    <s v="Doctor"/>
    <n v="1"/>
    <x v="0"/>
    <d v="2024-04-23T00:00:00"/>
    <x v="13"/>
    <n v="25041"/>
    <x v="0"/>
    <x v="0"/>
    <x v="11"/>
  </r>
  <r>
    <s v="T067"/>
    <s v="Tenant_67"/>
    <s v="9129590205"/>
    <s v="Student"/>
    <n v="3"/>
    <x v="0"/>
    <d v="2025-02-10T00:00:00"/>
    <x v="4"/>
    <n v="42599"/>
    <x v="0"/>
    <x v="1"/>
    <x v="4"/>
  </r>
  <r>
    <s v="T068"/>
    <s v="Tenant_68"/>
    <s v="9584489341"/>
    <s v="Business"/>
    <n v="1"/>
    <x v="1"/>
    <d v="2024-02-20T00:00:00"/>
    <x v="5"/>
    <n v="14822"/>
    <x v="0"/>
    <x v="1"/>
    <x v="4"/>
  </r>
  <r>
    <s v="T069"/>
    <s v="Tenant_69"/>
    <s v="9161000202"/>
    <s v="HR"/>
    <n v="4"/>
    <x v="1"/>
    <d v="2025-03-10T00:00:00"/>
    <x v="12"/>
    <n v="59200"/>
    <x v="2"/>
    <x v="1"/>
    <x v="0"/>
  </r>
  <r>
    <s v="T070"/>
    <s v="Tenant_70"/>
    <s v="9909272147"/>
    <s v="Business"/>
    <n v="3"/>
    <x v="0"/>
    <d v="2025-01-11T00:00:00"/>
    <x v="14"/>
    <n v="9921"/>
    <x v="0"/>
    <x v="0"/>
    <x v="5"/>
  </r>
  <r>
    <s v="T071"/>
    <s v="Tenant_71"/>
    <s v="9627735449"/>
    <s v="IT"/>
    <n v="3"/>
    <x v="0"/>
    <d v="2024-09-11T00:00:00"/>
    <x v="7"/>
    <n v="39925"/>
    <x v="2"/>
    <x v="2"/>
    <x v="6"/>
  </r>
  <r>
    <s v="T072"/>
    <s v="Tenant_72"/>
    <s v="9830418465"/>
    <s v="Student"/>
    <n v="4"/>
    <x v="0"/>
    <d v="2024-09-23T00:00:00"/>
    <x v="7"/>
    <n v="58600"/>
    <x v="2"/>
    <x v="2"/>
    <x v="6"/>
  </r>
  <r>
    <s v="T073"/>
    <s v="Tenant_73"/>
    <s v="9772298385"/>
    <s v="IT"/>
    <n v="2"/>
    <x v="1"/>
    <d v="2024-01-30T00:00:00"/>
    <x v="6"/>
    <n v="27244"/>
    <x v="0"/>
    <x v="0"/>
    <x v="5"/>
  </r>
  <r>
    <s v="T074"/>
    <s v="Tenant_74"/>
    <s v="9212906866"/>
    <s v="Doctor"/>
    <n v="2"/>
    <x v="0"/>
    <d v="2024-03-17T00:00:00"/>
    <x v="0"/>
    <n v="50767"/>
    <x v="0"/>
    <x v="1"/>
    <x v="0"/>
  </r>
  <r>
    <s v="T075"/>
    <s v="Tenant_75"/>
    <s v="9106853169"/>
    <s v="HR"/>
    <n v="2"/>
    <x v="1"/>
    <d v="2024-05-22T00:00:00"/>
    <x v="11"/>
    <n v="28926"/>
    <x v="0"/>
    <x v="2"/>
    <x v="10"/>
  </r>
  <r>
    <s v="T076"/>
    <s v="Tenant_76"/>
    <s v="9190789696"/>
    <s v="Student"/>
    <n v="2"/>
    <x v="1"/>
    <d v="2024-01-25T00:00:00"/>
    <x v="6"/>
    <n v="22559"/>
    <x v="0"/>
    <x v="0"/>
    <x v="5"/>
  </r>
  <r>
    <s v="T077"/>
    <s v="Tenant_77"/>
    <s v="9624925635"/>
    <s v="Business"/>
    <n v="3"/>
    <x v="1"/>
    <d v="2024-05-19T00:00:00"/>
    <x v="11"/>
    <n v="50864"/>
    <x v="2"/>
    <x v="1"/>
    <x v="10"/>
  </r>
  <r>
    <s v="T078"/>
    <s v="Tenant_78"/>
    <s v="9502197969"/>
    <s v="IT"/>
    <n v="2"/>
    <x v="0"/>
    <d v="2025-01-23T00:00:00"/>
    <x v="14"/>
    <n v="56735"/>
    <x v="1"/>
    <x v="0"/>
    <x v="5"/>
  </r>
  <r>
    <s v="T079"/>
    <s v="Tenant_79"/>
    <s v="9673292050"/>
    <s v="Business"/>
    <n v="3"/>
    <x v="1"/>
    <d v="2024-03-03T00:00:00"/>
    <x v="0"/>
    <n v="37309"/>
    <x v="0"/>
    <x v="1"/>
    <x v="0"/>
  </r>
  <r>
    <s v="T080"/>
    <s v="Tenant_80"/>
    <s v="9748807055"/>
    <s v="IT"/>
    <n v="5"/>
    <x v="0"/>
    <d v="2024-03-09T00:00:00"/>
    <x v="0"/>
    <n v="40253"/>
    <x v="2"/>
    <x v="1"/>
    <x v="0"/>
  </r>
  <r>
    <s v="T081"/>
    <s v="Tenant_81"/>
    <s v="9445703009"/>
    <s v="Student"/>
    <n v="4"/>
    <x v="0"/>
    <d v="2024-03-02T00:00:00"/>
    <x v="0"/>
    <n v="51405"/>
    <x v="1"/>
    <x v="2"/>
    <x v="0"/>
  </r>
  <r>
    <s v="T082"/>
    <s v="Tenant_82"/>
    <s v="9811807735"/>
    <s v="Student"/>
    <n v="5"/>
    <x v="1"/>
    <d v="2024-12-04T00:00:00"/>
    <x v="10"/>
    <n v="20192"/>
    <x v="0"/>
    <x v="1"/>
    <x v="9"/>
  </r>
  <r>
    <s v="T083"/>
    <s v="Tenant_83"/>
    <s v="9293137556"/>
    <s v="Business"/>
    <n v="5"/>
    <x v="0"/>
    <d v="2024-08-28T00:00:00"/>
    <x v="1"/>
    <n v="30859"/>
    <x v="1"/>
    <x v="1"/>
    <x v="1"/>
  </r>
  <r>
    <s v="T084"/>
    <s v="Tenant_84"/>
    <s v="9674260161"/>
    <s v="HR"/>
    <n v="3"/>
    <x v="0"/>
    <d v="2024-09-20T00:00:00"/>
    <x v="7"/>
    <n v="53938"/>
    <x v="0"/>
    <x v="2"/>
    <x v="6"/>
  </r>
  <r>
    <s v="T085"/>
    <s v="Tenant_85"/>
    <s v="9816555121"/>
    <s v="Student"/>
    <n v="1"/>
    <x v="0"/>
    <d v="2024-06-17T00:00:00"/>
    <x v="9"/>
    <n v="37853"/>
    <x v="2"/>
    <x v="1"/>
    <x v="8"/>
  </r>
  <r>
    <s v="T086"/>
    <s v="Tenant_86"/>
    <s v="9917693032"/>
    <s v="HR"/>
    <n v="2"/>
    <x v="1"/>
    <d v="2024-08-09T00:00:00"/>
    <x v="1"/>
    <n v="35767"/>
    <x v="1"/>
    <x v="1"/>
    <x v="1"/>
  </r>
  <r>
    <s v="T087"/>
    <s v="Tenant_87"/>
    <s v="9197836875"/>
    <s v="Student"/>
    <n v="3"/>
    <x v="0"/>
    <d v="2025-02-11T00:00:00"/>
    <x v="4"/>
    <n v="29409"/>
    <x v="2"/>
    <x v="0"/>
    <x v="4"/>
  </r>
  <r>
    <s v="T088"/>
    <s v="Tenant_88"/>
    <s v="9627071799"/>
    <s v="Student"/>
    <n v="3"/>
    <x v="0"/>
    <d v="2024-08-13T00:00:00"/>
    <x v="1"/>
    <n v="34545"/>
    <x v="0"/>
    <x v="0"/>
    <x v="1"/>
  </r>
  <r>
    <s v="T089"/>
    <s v="Tenant_89"/>
    <s v="9534668812"/>
    <s v="Doctor"/>
    <n v="2"/>
    <x v="0"/>
    <d v="2024-08-19T00:00:00"/>
    <x v="1"/>
    <n v="12476"/>
    <x v="2"/>
    <x v="0"/>
    <x v="1"/>
  </r>
  <r>
    <s v="T090"/>
    <s v="Tenant_90"/>
    <s v="9113319591"/>
    <s v="Student"/>
    <n v="2"/>
    <x v="0"/>
    <d v="2024-08-23T00:00:00"/>
    <x v="1"/>
    <n v="36931"/>
    <x v="0"/>
    <x v="1"/>
    <x v="1"/>
  </r>
  <r>
    <s v="T091"/>
    <s v="Tenant_91"/>
    <s v="9881303986"/>
    <s v="IT"/>
    <n v="5"/>
    <x v="0"/>
    <d v="2025-01-13T00:00:00"/>
    <x v="14"/>
    <n v="41882"/>
    <x v="2"/>
    <x v="0"/>
    <x v="5"/>
  </r>
  <r>
    <s v="T092"/>
    <s v="Tenant_92"/>
    <s v="9688715322"/>
    <s v="Doctor"/>
    <n v="2"/>
    <x v="0"/>
    <d v="2024-02-13T00:00:00"/>
    <x v="5"/>
    <n v="21201"/>
    <x v="1"/>
    <x v="1"/>
    <x v="4"/>
  </r>
  <r>
    <s v="T093"/>
    <s v="Tenant_93"/>
    <s v="9200333955"/>
    <s v="Doctor"/>
    <n v="1"/>
    <x v="0"/>
    <d v="2024-12-11T00:00:00"/>
    <x v="10"/>
    <n v="44352"/>
    <x v="1"/>
    <x v="1"/>
    <x v="9"/>
  </r>
  <r>
    <s v="T094"/>
    <s v="Tenant_94"/>
    <s v="9527088696"/>
    <s v="IT"/>
    <n v="3"/>
    <x v="0"/>
    <d v="2025-02-17T00:00:00"/>
    <x v="4"/>
    <n v="21485"/>
    <x v="2"/>
    <x v="1"/>
    <x v="4"/>
  </r>
  <r>
    <s v="T095"/>
    <s v="Tenant_95"/>
    <s v="9796280511"/>
    <s v="Doctor"/>
    <n v="2"/>
    <x v="0"/>
    <d v="2024-11-12T00:00:00"/>
    <x v="2"/>
    <n v="45238"/>
    <x v="1"/>
    <x v="2"/>
    <x v="2"/>
  </r>
  <r>
    <s v="T096"/>
    <s v="Tenant_96"/>
    <s v="9412476753"/>
    <s v="IT"/>
    <n v="6"/>
    <x v="0"/>
    <d v="2024-08-05T00:00:00"/>
    <x v="1"/>
    <n v="50435"/>
    <x v="1"/>
    <x v="2"/>
    <x v="1"/>
  </r>
  <r>
    <s v="T097"/>
    <s v="Tenant_97"/>
    <s v="9682318561"/>
    <s v="Business"/>
    <n v="1"/>
    <x v="0"/>
    <d v="2025-01-01T00:00:00"/>
    <x v="14"/>
    <n v="47339"/>
    <x v="2"/>
    <x v="1"/>
    <x v="5"/>
  </r>
  <r>
    <s v="T098"/>
    <s v="Tenant_98"/>
    <s v="9176966982"/>
    <s v="HR"/>
    <n v="1"/>
    <x v="0"/>
    <d v="2024-03-17T00:00:00"/>
    <x v="0"/>
    <n v="24456"/>
    <x v="0"/>
    <x v="1"/>
    <x v="0"/>
  </r>
  <r>
    <s v="T099"/>
    <s v="Tenant_99"/>
    <s v="9900789791"/>
    <s v="Doctor"/>
    <n v="5"/>
    <x v="0"/>
    <d v="2024-03-22T00:00:00"/>
    <x v="0"/>
    <n v="19981"/>
    <x v="1"/>
    <x v="1"/>
    <x v="0"/>
  </r>
  <r>
    <s v="T100"/>
    <s v="Tenant_100"/>
    <s v="9669665068"/>
    <s v="HR"/>
    <n v="1"/>
    <x v="0"/>
    <d v="2025-01-16T00:00:00"/>
    <x v="14"/>
    <n v="43245"/>
    <x v="2"/>
    <x v="0"/>
    <x v="5"/>
  </r>
  <r>
    <s v="T101"/>
    <s v="Tenant_101"/>
    <s v="9431728311"/>
    <s v="Student"/>
    <n v="3"/>
    <x v="1"/>
    <d v="2024-08-14T00:00:00"/>
    <x v="1"/>
    <n v="54391"/>
    <x v="0"/>
    <x v="1"/>
    <x v="1"/>
  </r>
  <r>
    <s v="T102"/>
    <s v="Tenant_102"/>
    <s v="9802861382"/>
    <s v="Doctor"/>
    <n v="4"/>
    <x v="1"/>
    <d v="2025-03-18T00:00:00"/>
    <x v="12"/>
    <n v="55695"/>
    <x v="0"/>
    <x v="0"/>
    <x v="0"/>
  </r>
  <r>
    <s v="T103"/>
    <s v="Tenant_103"/>
    <s v="9914787822"/>
    <s v="HR"/>
    <n v="2"/>
    <x v="1"/>
    <d v="2025-03-03T00:00:00"/>
    <x v="12"/>
    <n v="19584"/>
    <x v="0"/>
    <x v="0"/>
    <x v="0"/>
  </r>
  <r>
    <s v="T104"/>
    <s v="Tenant_104"/>
    <s v="9767033307"/>
    <s v="Doctor"/>
    <n v="2"/>
    <x v="1"/>
    <d v="2024-07-02T00:00:00"/>
    <x v="3"/>
    <n v="27463"/>
    <x v="1"/>
    <x v="1"/>
    <x v="3"/>
  </r>
  <r>
    <s v="T105"/>
    <s v="Tenant_105"/>
    <s v="9948894510"/>
    <s v="Doctor"/>
    <n v="3"/>
    <x v="0"/>
    <d v="2024-01-05T00:00:00"/>
    <x v="6"/>
    <n v="54298"/>
    <x v="0"/>
    <x v="0"/>
    <x v="5"/>
  </r>
  <r>
    <s v="T106"/>
    <s v="Tenant_106"/>
    <s v="9608763847"/>
    <s v="HR"/>
    <n v="3"/>
    <x v="0"/>
    <d v="2024-11-17T00:00:00"/>
    <x v="2"/>
    <n v="33823"/>
    <x v="0"/>
    <x v="1"/>
    <x v="2"/>
  </r>
  <r>
    <s v="T107"/>
    <s v="Tenant_107"/>
    <s v="9281663933"/>
    <s v="Business"/>
    <n v="5"/>
    <x v="0"/>
    <d v="2024-11-12T00:00:00"/>
    <x v="2"/>
    <n v="57826"/>
    <x v="0"/>
    <x v="1"/>
    <x v="2"/>
  </r>
  <r>
    <s v="T108"/>
    <s v="Tenant_108"/>
    <s v="9854580894"/>
    <s v="HR"/>
    <n v="6"/>
    <x v="1"/>
    <d v="2024-03-11T00:00:00"/>
    <x v="0"/>
    <n v="12103"/>
    <x v="0"/>
    <x v="2"/>
    <x v="0"/>
  </r>
  <r>
    <s v="T109"/>
    <s v="Tenant_109"/>
    <s v="9673030065"/>
    <s v="IT"/>
    <n v="5"/>
    <x v="0"/>
    <d v="2024-05-18T00:00:00"/>
    <x v="11"/>
    <n v="23579"/>
    <x v="0"/>
    <x v="0"/>
    <x v="10"/>
  </r>
  <r>
    <s v="T110"/>
    <s v="Tenant_110"/>
    <s v="9190226946"/>
    <s v="Student"/>
    <n v="5"/>
    <x v="0"/>
    <d v="2024-09-18T00:00:00"/>
    <x v="7"/>
    <n v="27313"/>
    <x v="1"/>
    <x v="2"/>
    <x v="6"/>
  </r>
  <r>
    <s v="T111"/>
    <s v="Tenant_111"/>
    <s v="9189813534"/>
    <s v="Business"/>
    <n v="3"/>
    <x v="0"/>
    <d v="2024-01-20T00:00:00"/>
    <x v="6"/>
    <n v="19948"/>
    <x v="1"/>
    <x v="2"/>
    <x v="5"/>
  </r>
  <r>
    <s v="T112"/>
    <s v="Tenant_112"/>
    <s v="9506104514"/>
    <s v="HR"/>
    <n v="1"/>
    <x v="0"/>
    <d v="2024-02-27T00:00:00"/>
    <x v="5"/>
    <n v="12172"/>
    <x v="1"/>
    <x v="1"/>
    <x v="4"/>
  </r>
  <r>
    <s v="T113"/>
    <s v="Tenant_113"/>
    <s v="9818536994"/>
    <s v="Doctor"/>
    <n v="1"/>
    <x v="0"/>
    <d v="2024-05-28T00:00:00"/>
    <x v="11"/>
    <n v="38457"/>
    <x v="2"/>
    <x v="1"/>
    <x v="10"/>
  </r>
  <r>
    <s v="T114"/>
    <s v="Tenant_114"/>
    <s v="9345338453"/>
    <s v="Student"/>
    <n v="3"/>
    <x v="1"/>
    <d v="2024-03-27T00:00:00"/>
    <x v="0"/>
    <n v="59709"/>
    <x v="0"/>
    <x v="0"/>
    <x v="0"/>
  </r>
  <r>
    <s v="T115"/>
    <s v="Tenant_115"/>
    <s v="9342806421"/>
    <s v="IT"/>
    <n v="4"/>
    <x v="1"/>
    <d v="2024-03-17T00:00:00"/>
    <x v="0"/>
    <n v="8579"/>
    <x v="1"/>
    <x v="0"/>
    <x v="0"/>
  </r>
  <r>
    <s v="T116"/>
    <s v="Tenant_116"/>
    <s v="9852467317"/>
    <s v="Business"/>
    <n v="5"/>
    <x v="1"/>
    <d v="2024-04-28T00:00:00"/>
    <x v="13"/>
    <n v="56541"/>
    <x v="0"/>
    <x v="1"/>
    <x v="11"/>
  </r>
  <r>
    <s v="T117"/>
    <s v="Tenant_117"/>
    <s v="9713070338"/>
    <s v="Doctor"/>
    <n v="3"/>
    <x v="1"/>
    <d v="2024-09-24T00:00:00"/>
    <x v="7"/>
    <n v="28105"/>
    <x v="2"/>
    <x v="2"/>
    <x v="6"/>
  </r>
  <r>
    <s v="T118"/>
    <s v="Tenant_118"/>
    <s v="9791781973"/>
    <s v="HR"/>
    <n v="2"/>
    <x v="0"/>
    <d v="2024-06-21T00:00:00"/>
    <x v="9"/>
    <n v="30408"/>
    <x v="0"/>
    <x v="0"/>
    <x v="8"/>
  </r>
  <r>
    <s v="T119"/>
    <s v="Tenant_119"/>
    <s v="9949308454"/>
    <s v="Student"/>
    <n v="5"/>
    <x v="1"/>
    <d v="2025-02-07T00:00:00"/>
    <x v="4"/>
    <n v="37375"/>
    <x v="1"/>
    <x v="2"/>
    <x v="4"/>
  </r>
  <r>
    <s v="T120"/>
    <s v="Tenant_120"/>
    <s v="9500368096"/>
    <s v="HR"/>
    <n v="6"/>
    <x v="0"/>
    <d v="2024-06-17T00:00:00"/>
    <x v="9"/>
    <n v="10622"/>
    <x v="2"/>
    <x v="1"/>
    <x v="8"/>
  </r>
  <r>
    <s v="T121"/>
    <s v="Tenant_121"/>
    <s v="9771899372"/>
    <s v="Business"/>
    <n v="6"/>
    <x v="1"/>
    <d v="2025-02-04T00:00:00"/>
    <x v="4"/>
    <n v="48931"/>
    <x v="2"/>
    <x v="0"/>
    <x v="4"/>
  </r>
  <r>
    <s v="T122"/>
    <s v="Tenant_122"/>
    <s v="9492664332"/>
    <s v="HR"/>
    <n v="2"/>
    <x v="1"/>
    <d v="2024-12-14T00:00:00"/>
    <x v="10"/>
    <n v="9196"/>
    <x v="0"/>
    <x v="2"/>
    <x v="9"/>
  </r>
  <r>
    <s v="T123"/>
    <s v="Tenant_123"/>
    <s v="9331689916"/>
    <s v="Business"/>
    <n v="2"/>
    <x v="0"/>
    <d v="2024-07-19T00:00:00"/>
    <x v="3"/>
    <n v="17796"/>
    <x v="0"/>
    <x v="2"/>
    <x v="3"/>
  </r>
  <r>
    <s v="T124"/>
    <s v="Tenant_124"/>
    <s v="9187934662"/>
    <s v="Student"/>
    <n v="3"/>
    <x v="0"/>
    <d v="2024-05-04T00:00:00"/>
    <x v="11"/>
    <n v="19596"/>
    <x v="1"/>
    <x v="0"/>
    <x v="10"/>
  </r>
  <r>
    <s v="T125"/>
    <s v="Tenant_125"/>
    <s v="9530501369"/>
    <s v="Business"/>
    <n v="6"/>
    <x v="0"/>
    <d v="2024-06-26T00:00:00"/>
    <x v="9"/>
    <n v="24176"/>
    <x v="1"/>
    <x v="1"/>
    <x v="8"/>
  </r>
  <r>
    <s v="T126"/>
    <s v="Tenant_126"/>
    <s v="9174518780"/>
    <s v="Doctor"/>
    <n v="5"/>
    <x v="1"/>
    <d v="2024-08-13T00:00:00"/>
    <x v="1"/>
    <n v="45981"/>
    <x v="1"/>
    <x v="1"/>
    <x v="1"/>
  </r>
  <r>
    <s v="T127"/>
    <s v="Tenant_127"/>
    <s v="9350277527"/>
    <s v="HR"/>
    <n v="5"/>
    <x v="1"/>
    <d v="2024-05-23T00:00:00"/>
    <x v="11"/>
    <n v="31653"/>
    <x v="1"/>
    <x v="2"/>
    <x v="10"/>
  </r>
  <r>
    <s v="T128"/>
    <s v="Tenant_128"/>
    <s v="9935318309"/>
    <s v="Student"/>
    <n v="1"/>
    <x v="0"/>
    <d v="2024-08-16T00:00:00"/>
    <x v="1"/>
    <n v="44925"/>
    <x v="1"/>
    <x v="2"/>
    <x v="1"/>
  </r>
  <r>
    <s v="T129"/>
    <s v="Tenant_129"/>
    <s v="9141771524"/>
    <s v="Student"/>
    <n v="2"/>
    <x v="0"/>
    <d v="2025-01-16T00:00:00"/>
    <x v="14"/>
    <n v="37104"/>
    <x v="0"/>
    <x v="2"/>
    <x v="5"/>
  </r>
  <r>
    <s v="T130"/>
    <s v="Tenant_130"/>
    <s v="9102125674"/>
    <s v="IT"/>
    <n v="2"/>
    <x v="0"/>
    <d v="2024-03-27T00:00:00"/>
    <x v="0"/>
    <n v="48092"/>
    <x v="1"/>
    <x v="1"/>
    <x v="0"/>
  </r>
  <r>
    <s v="T131"/>
    <s v="Tenant_131"/>
    <s v="9972738673"/>
    <s v="Student"/>
    <n v="6"/>
    <x v="1"/>
    <d v="2024-02-06T00:00:00"/>
    <x v="5"/>
    <n v="18740"/>
    <x v="0"/>
    <x v="1"/>
    <x v="4"/>
  </r>
  <r>
    <s v="T132"/>
    <s v="Tenant_132"/>
    <s v="9394280450"/>
    <s v="IT"/>
    <n v="2"/>
    <x v="0"/>
    <d v="2024-05-16T00:00:00"/>
    <x v="11"/>
    <n v="30804"/>
    <x v="2"/>
    <x v="1"/>
    <x v="10"/>
  </r>
  <r>
    <s v="T133"/>
    <s v="Tenant_133"/>
    <s v="9693649206"/>
    <s v="Student"/>
    <n v="3"/>
    <x v="1"/>
    <d v="2024-03-09T00:00:00"/>
    <x v="0"/>
    <n v="9260"/>
    <x v="0"/>
    <x v="0"/>
    <x v="0"/>
  </r>
  <r>
    <s v="T134"/>
    <s v="Tenant_134"/>
    <s v="9431714281"/>
    <s v="IT"/>
    <n v="2"/>
    <x v="1"/>
    <d v="2024-06-15T00:00:00"/>
    <x v="9"/>
    <n v="53156"/>
    <x v="1"/>
    <x v="2"/>
    <x v="8"/>
  </r>
  <r>
    <s v="T135"/>
    <s v="Tenant_135"/>
    <s v="9448466467"/>
    <s v="IT"/>
    <n v="1"/>
    <x v="1"/>
    <d v="2024-06-29T00:00:00"/>
    <x v="9"/>
    <n v="28214"/>
    <x v="1"/>
    <x v="1"/>
    <x v="8"/>
  </r>
  <r>
    <s v="T136"/>
    <s v="Tenant_136"/>
    <s v="9370014169"/>
    <s v="HR"/>
    <n v="5"/>
    <x v="1"/>
    <d v="2024-06-18T00:00:00"/>
    <x v="9"/>
    <n v="44974"/>
    <x v="2"/>
    <x v="2"/>
    <x v="8"/>
  </r>
  <r>
    <s v="T137"/>
    <s v="Tenant_137"/>
    <s v="9266453051"/>
    <s v="HR"/>
    <n v="2"/>
    <x v="1"/>
    <d v="2024-08-19T00:00:00"/>
    <x v="1"/>
    <n v="30888"/>
    <x v="0"/>
    <x v="1"/>
    <x v="1"/>
  </r>
  <r>
    <s v="T138"/>
    <s v="Tenant_138"/>
    <s v="9512209622"/>
    <s v="IT"/>
    <n v="6"/>
    <x v="1"/>
    <d v="2024-08-20T00:00:00"/>
    <x v="1"/>
    <n v="38390"/>
    <x v="1"/>
    <x v="0"/>
    <x v="1"/>
  </r>
  <r>
    <s v="T139"/>
    <s v="Tenant_139"/>
    <s v="9216251585"/>
    <s v="Student"/>
    <n v="5"/>
    <x v="0"/>
    <d v="2024-03-01T00:00:00"/>
    <x v="0"/>
    <n v="24465"/>
    <x v="1"/>
    <x v="2"/>
    <x v="0"/>
  </r>
  <r>
    <s v="T140"/>
    <s v="Tenant_140"/>
    <s v="9424961295"/>
    <s v="Student"/>
    <n v="2"/>
    <x v="1"/>
    <d v="2024-05-27T00:00:00"/>
    <x v="11"/>
    <n v="12363"/>
    <x v="0"/>
    <x v="0"/>
    <x v="10"/>
  </r>
  <r>
    <s v="T141"/>
    <s v="Tenant_141"/>
    <s v="9101303678"/>
    <s v="Business"/>
    <n v="5"/>
    <x v="1"/>
    <d v="2024-10-17T00:00:00"/>
    <x v="8"/>
    <n v="57477"/>
    <x v="0"/>
    <x v="1"/>
    <x v="7"/>
  </r>
  <r>
    <s v="T142"/>
    <s v="Tenant_142"/>
    <s v="9842660854"/>
    <s v="Student"/>
    <n v="2"/>
    <x v="1"/>
    <d v="2024-02-11T00:00:00"/>
    <x v="5"/>
    <n v="31451"/>
    <x v="0"/>
    <x v="2"/>
    <x v="4"/>
  </r>
  <r>
    <s v="T143"/>
    <s v="Tenant_143"/>
    <s v="9766171553"/>
    <s v="IT"/>
    <n v="2"/>
    <x v="1"/>
    <d v="2024-08-04T00:00:00"/>
    <x v="1"/>
    <n v="34204"/>
    <x v="0"/>
    <x v="2"/>
    <x v="1"/>
  </r>
  <r>
    <s v="T144"/>
    <s v="Tenant_144"/>
    <s v="9305688037"/>
    <s v="IT"/>
    <n v="2"/>
    <x v="0"/>
    <d v="2024-11-23T00:00:00"/>
    <x v="2"/>
    <n v="29451"/>
    <x v="1"/>
    <x v="1"/>
    <x v="2"/>
  </r>
  <r>
    <s v="T145"/>
    <s v="Tenant_145"/>
    <s v="9994700643"/>
    <s v="Doctor"/>
    <n v="4"/>
    <x v="0"/>
    <d v="2024-02-16T00:00:00"/>
    <x v="5"/>
    <n v="9309"/>
    <x v="2"/>
    <x v="1"/>
    <x v="4"/>
  </r>
  <r>
    <s v="T146"/>
    <s v="Tenant_146"/>
    <s v="9101135620"/>
    <s v="Student"/>
    <n v="4"/>
    <x v="1"/>
    <d v="2024-05-22T00:00:00"/>
    <x v="11"/>
    <n v="53216"/>
    <x v="1"/>
    <x v="1"/>
    <x v="10"/>
  </r>
  <r>
    <s v="T147"/>
    <s v="Tenant_147"/>
    <s v="9782442946"/>
    <s v="Doctor"/>
    <n v="6"/>
    <x v="0"/>
    <d v="2024-06-06T00:00:00"/>
    <x v="9"/>
    <n v="27462"/>
    <x v="0"/>
    <x v="2"/>
    <x v="8"/>
  </r>
  <r>
    <s v="T148"/>
    <s v="Tenant_148"/>
    <s v="9152782678"/>
    <s v="IT"/>
    <n v="5"/>
    <x v="1"/>
    <d v="2024-04-17T00:00:00"/>
    <x v="13"/>
    <n v="42207"/>
    <x v="2"/>
    <x v="0"/>
    <x v="11"/>
  </r>
  <r>
    <s v="T149"/>
    <s v="Tenant_149"/>
    <s v="9535560853"/>
    <s v="HR"/>
    <n v="4"/>
    <x v="1"/>
    <d v="2024-03-14T00:00:00"/>
    <x v="0"/>
    <n v="27617"/>
    <x v="0"/>
    <x v="0"/>
    <x v="0"/>
  </r>
  <r>
    <s v="T150"/>
    <s v="Tenant_150"/>
    <s v="9506781086"/>
    <s v="HR"/>
    <n v="4"/>
    <x v="1"/>
    <d v="2024-04-20T00:00:00"/>
    <x v="13"/>
    <n v="48460"/>
    <x v="0"/>
    <x v="0"/>
    <x v="11"/>
  </r>
  <r>
    <s v="T151"/>
    <s v="Tenant_151"/>
    <s v="9278099547"/>
    <s v="Student"/>
    <n v="1"/>
    <x v="1"/>
    <d v="2024-10-19T00:00:00"/>
    <x v="8"/>
    <n v="18864"/>
    <x v="1"/>
    <x v="1"/>
    <x v="7"/>
  </r>
  <r>
    <s v="T152"/>
    <s v="Tenant_152"/>
    <s v="9920289263"/>
    <s v="IT"/>
    <n v="3"/>
    <x v="0"/>
    <d v="2024-05-17T00:00:00"/>
    <x v="11"/>
    <n v="53096"/>
    <x v="1"/>
    <x v="1"/>
    <x v="10"/>
  </r>
  <r>
    <s v="T153"/>
    <s v="Tenant_153"/>
    <s v="9629823062"/>
    <s v="IT"/>
    <n v="5"/>
    <x v="0"/>
    <d v="2025-02-02T00:00:00"/>
    <x v="4"/>
    <n v="22864"/>
    <x v="1"/>
    <x v="0"/>
    <x v="4"/>
  </r>
  <r>
    <s v="T154"/>
    <s v="Tenant_154"/>
    <s v="9598474596"/>
    <s v="Student"/>
    <n v="3"/>
    <x v="1"/>
    <d v="2024-02-13T00:00:00"/>
    <x v="5"/>
    <n v="10432"/>
    <x v="2"/>
    <x v="1"/>
    <x v="4"/>
  </r>
  <r>
    <s v="T155"/>
    <s v="Tenant_155"/>
    <s v="9759298801"/>
    <s v="Doctor"/>
    <n v="5"/>
    <x v="0"/>
    <d v="2025-01-14T00:00:00"/>
    <x v="14"/>
    <n v="22432"/>
    <x v="1"/>
    <x v="0"/>
    <x v="5"/>
  </r>
  <r>
    <s v="T156"/>
    <s v="Tenant_156"/>
    <s v="9879225683"/>
    <s v="Student"/>
    <n v="6"/>
    <x v="0"/>
    <d v="2024-12-08T00:00:00"/>
    <x v="10"/>
    <n v="14811"/>
    <x v="0"/>
    <x v="0"/>
    <x v="9"/>
  </r>
  <r>
    <s v="T157"/>
    <s v="Tenant_157"/>
    <s v="9529100208"/>
    <s v="IT"/>
    <n v="3"/>
    <x v="1"/>
    <d v="2024-09-02T00:00:00"/>
    <x v="7"/>
    <n v="52736"/>
    <x v="2"/>
    <x v="2"/>
    <x v="6"/>
  </r>
  <r>
    <s v="T158"/>
    <s v="Tenant_158"/>
    <s v="9402135929"/>
    <s v="IT"/>
    <n v="5"/>
    <x v="0"/>
    <d v="2024-03-11T00:00:00"/>
    <x v="0"/>
    <n v="58750"/>
    <x v="2"/>
    <x v="2"/>
    <x v="0"/>
  </r>
  <r>
    <s v="T159"/>
    <s v="Tenant_159"/>
    <s v="9911818116"/>
    <s v="Doctor"/>
    <n v="3"/>
    <x v="1"/>
    <d v="2024-10-18T00:00:00"/>
    <x v="8"/>
    <n v="47531"/>
    <x v="2"/>
    <x v="0"/>
    <x v="7"/>
  </r>
  <r>
    <s v="T160"/>
    <s v="Tenant_160"/>
    <s v="9417354077"/>
    <s v="Doctor"/>
    <n v="1"/>
    <x v="0"/>
    <d v="2024-04-17T00:00:00"/>
    <x v="13"/>
    <n v="32848"/>
    <x v="0"/>
    <x v="1"/>
    <x v="11"/>
  </r>
  <r>
    <s v="T161"/>
    <s v="Tenant_161"/>
    <s v="9203705634"/>
    <s v="IT"/>
    <n v="5"/>
    <x v="1"/>
    <d v="2024-07-21T00:00:00"/>
    <x v="3"/>
    <n v="20683"/>
    <x v="0"/>
    <x v="0"/>
    <x v="3"/>
  </r>
  <r>
    <s v="T162"/>
    <s v="Tenant_162"/>
    <s v="9550537475"/>
    <s v="Student"/>
    <n v="2"/>
    <x v="0"/>
    <d v="2024-06-28T00:00:00"/>
    <x v="9"/>
    <n v="22613"/>
    <x v="2"/>
    <x v="0"/>
    <x v="8"/>
  </r>
  <r>
    <s v="T163"/>
    <s v="Tenant_163"/>
    <s v="9457373530"/>
    <s v="Business"/>
    <n v="6"/>
    <x v="1"/>
    <d v="2025-02-23T00:00:00"/>
    <x v="4"/>
    <n v="56824"/>
    <x v="1"/>
    <x v="1"/>
    <x v="4"/>
  </r>
  <r>
    <s v="T164"/>
    <s v="Tenant_164"/>
    <s v="9857335775"/>
    <s v="Student"/>
    <n v="5"/>
    <x v="0"/>
    <d v="2024-10-14T00:00:00"/>
    <x v="8"/>
    <n v="32420"/>
    <x v="2"/>
    <x v="0"/>
    <x v="7"/>
  </r>
  <r>
    <s v="T165"/>
    <s v="Tenant_165"/>
    <s v="9114386717"/>
    <s v="IT"/>
    <n v="5"/>
    <x v="1"/>
    <d v="2024-04-05T00:00:00"/>
    <x v="13"/>
    <n v="24371"/>
    <x v="2"/>
    <x v="2"/>
    <x v="11"/>
  </r>
  <r>
    <s v="T166"/>
    <s v="Tenant_166"/>
    <s v="9674532427"/>
    <s v="Doctor"/>
    <n v="3"/>
    <x v="0"/>
    <d v="2024-02-22T00:00:00"/>
    <x v="5"/>
    <n v="44664"/>
    <x v="0"/>
    <x v="2"/>
    <x v="4"/>
  </r>
  <r>
    <s v="T167"/>
    <s v="Tenant_167"/>
    <s v="9894108410"/>
    <s v="Business"/>
    <n v="3"/>
    <x v="0"/>
    <d v="2024-08-06T00:00:00"/>
    <x v="1"/>
    <n v="39509"/>
    <x v="2"/>
    <x v="1"/>
    <x v="1"/>
  </r>
  <r>
    <s v="T168"/>
    <s v="Tenant_168"/>
    <s v="9773418338"/>
    <s v="HR"/>
    <n v="6"/>
    <x v="1"/>
    <d v="2024-01-04T00:00:00"/>
    <x v="6"/>
    <n v="55714"/>
    <x v="2"/>
    <x v="2"/>
    <x v="5"/>
  </r>
  <r>
    <s v="T169"/>
    <s v="Tenant_169"/>
    <s v="9131433044"/>
    <s v="Student"/>
    <n v="3"/>
    <x v="0"/>
    <d v="2024-11-22T00:00:00"/>
    <x v="2"/>
    <n v="25906"/>
    <x v="2"/>
    <x v="0"/>
    <x v="2"/>
  </r>
  <r>
    <s v="T170"/>
    <s v="Tenant_170"/>
    <s v="9755911234"/>
    <s v="Business"/>
    <n v="4"/>
    <x v="0"/>
    <d v="2025-02-12T00:00:00"/>
    <x v="4"/>
    <n v="12981"/>
    <x v="0"/>
    <x v="1"/>
    <x v="4"/>
  </r>
  <r>
    <s v="T171"/>
    <s v="Tenant_171"/>
    <s v="9892390684"/>
    <s v="HR"/>
    <n v="5"/>
    <x v="1"/>
    <d v="2024-02-24T00:00:00"/>
    <x v="5"/>
    <n v="19364"/>
    <x v="1"/>
    <x v="0"/>
    <x v="4"/>
  </r>
  <r>
    <s v="T172"/>
    <s v="Tenant_172"/>
    <s v="9185719854"/>
    <s v="HR"/>
    <n v="2"/>
    <x v="1"/>
    <d v="2024-02-19T00:00:00"/>
    <x v="5"/>
    <n v="17092"/>
    <x v="0"/>
    <x v="2"/>
    <x v="4"/>
  </r>
  <r>
    <s v="T173"/>
    <s v="Tenant_173"/>
    <s v="9478979449"/>
    <s v="IT"/>
    <n v="6"/>
    <x v="1"/>
    <d v="2024-11-20T00:00:00"/>
    <x v="2"/>
    <n v="56887"/>
    <x v="0"/>
    <x v="1"/>
    <x v="2"/>
  </r>
  <r>
    <s v="T174"/>
    <s v="Tenant_174"/>
    <s v="9497586667"/>
    <s v="HR"/>
    <n v="6"/>
    <x v="1"/>
    <d v="2024-01-22T00:00:00"/>
    <x v="6"/>
    <n v="24936"/>
    <x v="0"/>
    <x v="2"/>
    <x v="5"/>
  </r>
  <r>
    <s v="T175"/>
    <s v="Tenant_175"/>
    <s v="9621620138"/>
    <s v="Student"/>
    <n v="5"/>
    <x v="0"/>
    <d v="2024-02-19T00:00:00"/>
    <x v="5"/>
    <n v="49162"/>
    <x v="2"/>
    <x v="1"/>
    <x v="4"/>
  </r>
  <r>
    <s v="T176"/>
    <s v="Tenant_176"/>
    <s v="9713580361"/>
    <s v="Student"/>
    <n v="5"/>
    <x v="1"/>
    <d v="2024-08-30T00:00:00"/>
    <x v="1"/>
    <n v="59835"/>
    <x v="1"/>
    <x v="1"/>
    <x v="1"/>
  </r>
  <r>
    <s v="T177"/>
    <s v="Tenant_177"/>
    <s v="9773576741"/>
    <s v="Business"/>
    <n v="4"/>
    <x v="0"/>
    <d v="2024-08-26T00:00:00"/>
    <x v="1"/>
    <n v="19885"/>
    <x v="0"/>
    <x v="2"/>
    <x v="1"/>
  </r>
  <r>
    <s v="T178"/>
    <s v="Tenant_178"/>
    <s v="9816209186"/>
    <s v="Doctor"/>
    <n v="2"/>
    <x v="1"/>
    <d v="2024-07-15T00:00:00"/>
    <x v="3"/>
    <n v="10100"/>
    <x v="2"/>
    <x v="2"/>
    <x v="3"/>
  </r>
  <r>
    <s v="T179"/>
    <s v="Tenant_179"/>
    <s v="9463116025"/>
    <s v="HR"/>
    <n v="1"/>
    <x v="1"/>
    <d v="2024-03-03T00:00:00"/>
    <x v="0"/>
    <n v="14209"/>
    <x v="1"/>
    <x v="1"/>
    <x v="0"/>
  </r>
  <r>
    <s v="T180"/>
    <s v="Tenant_180"/>
    <s v="9594035885"/>
    <s v="HR"/>
    <n v="2"/>
    <x v="1"/>
    <d v="2024-04-11T00:00:00"/>
    <x v="13"/>
    <n v="40078"/>
    <x v="2"/>
    <x v="1"/>
    <x v="11"/>
  </r>
  <r>
    <s v="T181"/>
    <s v="Tenant_181"/>
    <s v="9154680396"/>
    <s v="IT"/>
    <n v="1"/>
    <x v="1"/>
    <d v="2024-04-21T00:00:00"/>
    <x v="13"/>
    <n v="44605"/>
    <x v="0"/>
    <x v="2"/>
    <x v="11"/>
  </r>
  <r>
    <s v="T182"/>
    <s v="Tenant_182"/>
    <s v="9581087372"/>
    <s v="IT"/>
    <n v="6"/>
    <x v="0"/>
    <d v="2024-04-11T00:00:00"/>
    <x v="13"/>
    <n v="35165"/>
    <x v="0"/>
    <x v="1"/>
    <x v="11"/>
  </r>
  <r>
    <s v="T183"/>
    <s v="Tenant_183"/>
    <s v="9990490043"/>
    <s v="Doctor"/>
    <n v="3"/>
    <x v="1"/>
    <d v="2024-04-14T00:00:00"/>
    <x v="13"/>
    <n v="23929"/>
    <x v="2"/>
    <x v="2"/>
    <x v="11"/>
  </r>
  <r>
    <s v="T184"/>
    <s v="Tenant_184"/>
    <s v="9477540713"/>
    <s v="IT"/>
    <n v="1"/>
    <x v="1"/>
    <d v="2025-02-03T00:00:00"/>
    <x v="4"/>
    <n v="58610"/>
    <x v="0"/>
    <x v="0"/>
    <x v="4"/>
  </r>
  <r>
    <s v="T185"/>
    <s v="Tenant_185"/>
    <s v="9155386503"/>
    <s v="IT"/>
    <n v="6"/>
    <x v="0"/>
    <d v="2024-11-12T00:00:00"/>
    <x v="2"/>
    <n v="32807"/>
    <x v="2"/>
    <x v="0"/>
    <x v="2"/>
  </r>
  <r>
    <s v="T186"/>
    <s v="Tenant_186"/>
    <s v="9784592527"/>
    <s v="Business"/>
    <n v="4"/>
    <x v="0"/>
    <d v="2024-01-27T00:00:00"/>
    <x v="6"/>
    <n v="47456"/>
    <x v="2"/>
    <x v="1"/>
    <x v="5"/>
  </r>
  <r>
    <s v="T187"/>
    <s v="Tenant_187"/>
    <s v="9440257290"/>
    <s v="Doctor"/>
    <n v="2"/>
    <x v="0"/>
    <d v="2024-12-24T00:00:00"/>
    <x v="10"/>
    <n v="16590"/>
    <x v="2"/>
    <x v="0"/>
    <x v="9"/>
  </r>
  <r>
    <s v="T188"/>
    <s v="Tenant_188"/>
    <s v="9675683494"/>
    <s v="IT"/>
    <n v="6"/>
    <x v="0"/>
    <d v="2024-11-25T00:00:00"/>
    <x v="2"/>
    <n v="18285"/>
    <x v="2"/>
    <x v="0"/>
    <x v="2"/>
  </r>
  <r>
    <s v="T189"/>
    <s v="Tenant_189"/>
    <s v="9562099790"/>
    <s v="Doctor"/>
    <n v="5"/>
    <x v="1"/>
    <d v="2025-01-26T00:00:00"/>
    <x v="14"/>
    <n v="57716"/>
    <x v="0"/>
    <x v="0"/>
    <x v="5"/>
  </r>
  <r>
    <s v="T190"/>
    <s v="Tenant_190"/>
    <s v="9513815868"/>
    <s v="HR"/>
    <n v="1"/>
    <x v="0"/>
    <d v="2024-11-05T00:00:00"/>
    <x v="2"/>
    <n v="49615"/>
    <x v="1"/>
    <x v="1"/>
    <x v="2"/>
  </r>
  <r>
    <s v="T191"/>
    <s v="Tenant_191"/>
    <s v="9908167297"/>
    <s v="Doctor"/>
    <n v="1"/>
    <x v="0"/>
    <d v="2024-10-04T00:00:00"/>
    <x v="8"/>
    <n v="27572"/>
    <x v="2"/>
    <x v="0"/>
    <x v="7"/>
  </r>
  <r>
    <s v="T192"/>
    <s v="Tenant_192"/>
    <s v="9965559879"/>
    <s v="Student"/>
    <n v="2"/>
    <x v="0"/>
    <d v="2024-06-29T00:00:00"/>
    <x v="9"/>
    <n v="33331"/>
    <x v="1"/>
    <x v="1"/>
    <x v="8"/>
  </r>
  <r>
    <s v="T193"/>
    <s v="Tenant_193"/>
    <s v="9509370316"/>
    <s v="Student"/>
    <n v="1"/>
    <x v="0"/>
    <d v="2024-05-06T00:00:00"/>
    <x v="11"/>
    <n v="24087"/>
    <x v="2"/>
    <x v="0"/>
    <x v="10"/>
  </r>
  <r>
    <s v="T194"/>
    <s v="Tenant_194"/>
    <s v="9636043758"/>
    <s v="Business"/>
    <n v="4"/>
    <x v="0"/>
    <d v="2025-01-04T00:00:00"/>
    <x v="14"/>
    <n v="36163"/>
    <x v="2"/>
    <x v="2"/>
    <x v="5"/>
  </r>
  <r>
    <s v="T195"/>
    <s v="Tenant_195"/>
    <s v="9192928710"/>
    <s v="Business"/>
    <n v="5"/>
    <x v="1"/>
    <d v="2024-11-05T00:00:00"/>
    <x v="2"/>
    <n v="58258"/>
    <x v="2"/>
    <x v="2"/>
    <x v="2"/>
  </r>
  <r>
    <s v="T196"/>
    <s v="Tenant_196"/>
    <s v="9831108717"/>
    <s v="Business"/>
    <n v="3"/>
    <x v="0"/>
    <d v="2024-08-12T00:00:00"/>
    <x v="1"/>
    <n v="33949"/>
    <x v="1"/>
    <x v="2"/>
    <x v="1"/>
  </r>
  <r>
    <s v="T197"/>
    <s v="Tenant_197"/>
    <s v="9938525883"/>
    <s v="Business"/>
    <n v="4"/>
    <x v="1"/>
    <d v="2024-01-27T00:00:00"/>
    <x v="6"/>
    <n v="22190"/>
    <x v="0"/>
    <x v="0"/>
    <x v="5"/>
  </r>
  <r>
    <s v="T198"/>
    <s v="Tenant_198"/>
    <s v="9995943520"/>
    <s v="Business"/>
    <n v="3"/>
    <x v="1"/>
    <d v="2025-02-01T00:00:00"/>
    <x v="4"/>
    <n v="26893"/>
    <x v="2"/>
    <x v="0"/>
    <x v="4"/>
  </r>
  <r>
    <s v="T199"/>
    <s v="Tenant_199"/>
    <s v="9640917100"/>
    <s v="Doctor"/>
    <n v="1"/>
    <x v="0"/>
    <d v="2024-08-19T00:00:00"/>
    <x v="1"/>
    <n v="48362"/>
    <x v="0"/>
    <x v="0"/>
    <x v="1"/>
  </r>
  <r>
    <s v="T200"/>
    <s v="Tenant_200"/>
    <s v="9857697647"/>
    <s v="HR"/>
    <n v="3"/>
    <x v="1"/>
    <d v="2025-02-22T00:00:00"/>
    <x v="4"/>
    <n v="40818"/>
    <x v="2"/>
    <x v="0"/>
    <x v="4"/>
  </r>
  <r>
    <s v="T201"/>
    <s v="Tenant_201"/>
    <s v="9840108620"/>
    <s v="Business"/>
    <n v="4"/>
    <x v="1"/>
    <d v="2024-12-16T00:00:00"/>
    <x v="10"/>
    <n v="25944"/>
    <x v="1"/>
    <x v="0"/>
    <x v="9"/>
  </r>
  <r>
    <s v="T202"/>
    <s v="Tenant_202"/>
    <s v="9939055334"/>
    <s v="Business"/>
    <n v="6"/>
    <x v="1"/>
    <d v="2025-02-03T00:00:00"/>
    <x v="4"/>
    <n v="9695"/>
    <x v="2"/>
    <x v="0"/>
    <x v="4"/>
  </r>
  <r>
    <s v="T203"/>
    <s v="Tenant_203"/>
    <s v="9909941595"/>
    <s v="Student"/>
    <n v="3"/>
    <x v="1"/>
    <d v="2025-02-07T00:00:00"/>
    <x v="4"/>
    <n v="19000"/>
    <x v="1"/>
    <x v="2"/>
    <x v="4"/>
  </r>
  <r>
    <s v="T204"/>
    <s v="Tenant_204"/>
    <s v="9851938144"/>
    <s v="HR"/>
    <n v="2"/>
    <x v="0"/>
    <d v="2025-02-21T00:00:00"/>
    <x v="4"/>
    <n v="28752"/>
    <x v="2"/>
    <x v="0"/>
    <x v="4"/>
  </r>
  <r>
    <s v="T205"/>
    <s v="Tenant_205"/>
    <s v="9391462039"/>
    <s v="Student"/>
    <n v="4"/>
    <x v="0"/>
    <d v="2024-04-30T00:00:00"/>
    <x v="13"/>
    <n v="24873"/>
    <x v="1"/>
    <x v="1"/>
    <x v="11"/>
  </r>
  <r>
    <s v="T206"/>
    <s v="Tenant_206"/>
    <s v="9332352742"/>
    <s v="Student"/>
    <n v="1"/>
    <x v="1"/>
    <d v="2024-10-29T00:00:00"/>
    <x v="8"/>
    <n v="19456"/>
    <x v="0"/>
    <x v="2"/>
    <x v="7"/>
  </r>
  <r>
    <s v="T207"/>
    <s v="Tenant_207"/>
    <s v="9658681119"/>
    <s v="HR"/>
    <n v="6"/>
    <x v="0"/>
    <d v="2024-07-25T00:00:00"/>
    <x v="3"/>
    <n v="23600"/>
    <x v="0"/>
    <x v="2"/>
    <x v="3"/>
  </r>
  <r>
    <s v="T208"/>
    <s v="Tenant_208"/>
    <s v="9271764235"/>
    <s v="Student"/>
    <n v="6"/>
    <x v="1"/>
    <d v="2024-08-11T00:00:00"/>
    <x v="1"/>
    <n v="34539"/>
    <x v="2"/>
    <x v="0"/>
    <x v="1"/>
  </r>
  <r>
    <s v="T209"/>
    <s v="Tenant_209"/>
    <s v="9243959229"/>
    <s v="Doctor"/>
    <n v="5"/>
    <x v="0"/>
    <d v="2024-08-02T00:00:00"/>
    <x v="1"/>
    <n v="53525"/>
    <x v="1"/>
    <x v="1"/>
    <x v="1"/>
  </r>
  <r>
    <s v="T210"/>
    <s v="Tenant_210"/>
    <s v="9397804615"/>
    <s v="Student"/>
    <n v="1"/>
    <x v="1"/>
    <d v="2024-01-20T00:00:00"/>
    <x v="6"/>
    <n v="27995"/>
    <x v="0"/>
    <x v="1"/>
    <x v="5"/>
  </r>
  <r>
    <s v="T211"/>
    <s v="Tenant_211"/>
    <s v="9397802801"/>
    <s v="Doctor"/>
    <n v="1"/>
    <x v="0"/>
    <d v="2024-09-14T00:00:00"/>
    <x v="7"/>
    <n v="54662"/>
    <x v="0"/>
    <x v="2"/>
    <x v="6"/>
  </r>
  <r>
    <s v="T212"/>
    <s v="Tenant_212"/>
    <s v="9769843598"/>
    <s v="HR"/>
    <n v="6"/>
    <x v="1"/>
    <d v="2024-02-18T00:00:00"/>
    <x v="5"/>
    <n v="35133"/>
    <x v="0"/>
    <x v="2"/>
    <x v="4"/>
  </r>
  <r>
    <s v="T213"/>
    <s v="Tenant_213"/>
    <s v="9565791922"/>
    <s v="Doctor"/>
    <n v="2"/>
    <x v="0"/>
    <d v="2024-07-20T00:00:00"/>
    <x v="3"/>
    <n v="17278"/>
    <x v="0"/>
    <x v="1"/>
    <x v="3"/>
  </r>
  <r>
    <s v="T214"/>
    <s v="Tenant_214"/>
    <s v="9463540024"/>
    <s v="Student"/>
    <n v="3"/>
    <x v="1"/>
    <d v="2024-01-01T00:00:00"/>
    <x v="6"/>
    <n v="28607"/>
    <x v="1"/>
    <x v="1"/>
    <x v="5"/>
  </r>
  <r>
    <s v="T215"/>
    <s v="Tenant_215"/>
    <s v="9905989989"/>
    <s v="Doctor"/>
    <n v="3"/>
    <x v="0"/>
    <d v="2024-12-18T00:00:00"/>
    <x v="10"/>
    <n v="29997"/>
    <x v="0"/>
    <x v="0"/>
    <x v="9"/>
  </r>
  <r>
    <s v="T216"/>
    <s v="Tenant_216"/>
    <s v="9734355103"/>
    <s v="Student"/>
    <n v="4"/>
    <x v="0"/>
    <d v="2024-09-02T00:00:00"/>
    <x v="7"/>
    <n v="25037"/>
    <x v="0"/>
    <x v="2"/>
    <x v="6"/>
  </r>
  <r>
    <s v="T217"/>
    <s v="Tenant_217"/>
    <s v="9740576043"/>
    <s v="Business"/>
    <n v="6"/>
    <x v="1"/>
    <d v="2024-09-03T00:00:00"/>
    <x v="7"/>
    <n v="15246"/>
    <x v="2"/>
    <x v="1"/>
    <x v="6"/>
  </r>
  <r>
    <s v="T218"/>
    <s v="Tenant_218"/>
    <s v="9957916499"/>
    <s v="HR"/>
    <n v="3"/>
    <x v="0"/>
    <d v="2024-06-05T00:00:00"/>
    <x v="9"/>
    <n v="14104"/>
    <x v="1"/>
    <x v="0"/>
    <x v="8"/>
  </r>
  <r>
    <s v="T219"/>
    <s v="Tenant_219"/>
    <s v="9778192904"/>
    <s v="HR"/>
    <n v="1"/>
    <x v="1"/>
    <d v="2024-09-27T00:00:00"/>
    <x v="7"/>
    <n v="59967"/>
    <x v="2"/>
    <x v="2"/>
    <x v="6"/>
  </r>
  <r>
    <s v="T220"/>
    <s v="Tenant_220"/>
    <s v="9605395166"/>
    <s v="IT"/>
    <n v="1"/>
    <x v="0"/>
    <d v="2025-03-24T00:00:00"/>
    <x v="12"/>
    <n v="59007"/>
    <x v="2"/>
    <x v="1"/>
    <x v="0"/>
  </r>
  <r>
    <s v="T221"/>
    <s v="Tenant_221"/>
    <s v="9993932477"/>
    <s v="Doctor"/>
    <n v="2"/>
    <x v="0"/>
    <d v="2024-06-21T00:00:00"/>
    <x v="9"/>
    <n v="40887"/>
    <x v="0"/>
    <x v="1"/>
    <x v="8"/>
  </r>
  <r>
    <s v="T222"/>
    <s v="Tenant_222"/>
    <s v="9471569681"/>
    <s v="HR"/>
    <n v="1"/>
    <x v="1"/>
    <d v="2025-01-04T00:00:00"/>
    <x v="14"/>
    <n v="30691"/>
    <x v="0"/>
    <x v="0"/>
    <x v="5"/>
  </r>
  <r>
    <s v="T223"/>
    <s v="Tenant_223"/>
    <s v="9754578859"/>
    <s v="HR"/>
    <n v="6"/>
    <x v="1"/>
    <d v="2024-08-26T00:00:00"/>
    <x v="1"/>
    <n v="33748"/>
    <x v="1"/>
    <x v="1"/>
    <x v="1"/>
  </r>
  <r>
    <s v="T224"/>
    <s v="Tenant_224"/>
    <s v="9704817483"/>
    <s v="Business"/>
    <n v="1"/>
    <x v="0"/>
    <d v="2024-11-17T00:00:00"/>
    <x v="2"/>
    <n v="51563"/>
    <x v="1"/>
    <x v="0"/>
    <x v="2"/>
  </r>
  <r>
    <s v="T225"/>
    <s v="Tenant_225"/>
    <s v="9206175780"/>
    <s v="Doctor"/>
    <n v="4"/>
    <x v="0"/>
    <d v="2024-04-16T00:00:00"/>
    <x v="13"/>
    <n v="55129"/>
    <x v="1"/>
    <x v="0"/>
    <x v="11"/>
  </r>
  <r>
    <s v="T226"/>
    <s v="Tenant_226"/>
    <s v="9500892620"/>
    <s v="HR"/>
    <n v="2"/>
    <x v="0"/>
    <d v="2024-12-19T00:00:00"/>
    <x v="10"/>
    <n v="56163"/>
    <x v="0"/>
    <x v="1"/>
    <x v="9"/>
  </r>
  <r>
    <s v="T227"/>
    <s v="Tenant_227"/>
    <s v="9582289350"/>
    <s v="Doctor"/>
    <n v="6"/>
    <x v="1"/>
    <d v="2025-02-01T00:00:00"/>
    <x v="4"/>
    <n v="47494"/>
    <x v="0"/>
    <x v="0"/>
    <x v="4"/>
  </r>
  <r>
    <s v="T228"/>
    <s v="Tenant_228"/>
    <s v="9791035634"/>
    <s v="Business"/>
    <n v="3"/>
    <x v="1"/>
    <d v="2024-12-27T00:00:00"/>
    <x v="10"/>
    <n v="12156"/>
    <x v="1"/>
    <x v="2"/>
    <x v="9"/>
  </r>
  <r>
    <s v="T229"/>
    <s v="Tenant_229"/>
    <s v="9638350594"/>
    <s v="Doctor"/>
    <n v="2"/>
    <x v="0"/>
    <d v="2025-02-10T00:00:00"/>
    <x v="4"/>
    <n v="24578"/>
    <x v="2"/>
    <x v="0"/>
    <x v="4"/>
  </r>
  <r>
    <s v="T230"/>
    <s v="Tenant_230"/>
    <s v="9214683290"/>
    <s v="Doctor"/>
    <n v="5"/>
    <x v="1"/>
    <d v="2024-12-04T00:00:00"/>
    <x v="10"/>
    <n v="44389"/>
    <x v="1"/>
    <x v="0"/>
    <x v="9"/>
  </r>
  <r>
    <s v="T231"/>
    <s v="Tenant_231"/>
    <s v="9622624606"/>
    <s v="HR"/>
    <n v="3"/>
    <x v="1"/>
    <d v="2024-02-29T00:00:00"/>
    <x v="5"/>
    <n v="31921"/>
    <x v="1"/>
    <x v="1"/>
    <x v="4"/>
  </r>
  <r>
    <s v="T232"/>
    <s v="Tenant_232"/>
    <s v="9896651568"/>
    <s v="Doctor"/>
    <n v="1"/>
    <x v="0"/>
    <d v="2024-11-16T00:00:00"/>
    <x v="2"/>
    <n v="56845"/>
    <x v="2"/>
    <x v="0"/>
    <x v="2"/>
  </r>
  <r>
    <s v="T233"/>
    <s v="Tenant_233"/>
    <s v="9660874846"/>
    <s v="IT"/>
    <n v="5"/>
    <x v="0"/>
    <d v="2025-02-14T00:00:00"/>
    <x v="4"/>
    <n v="25208"/>
    <x v="2"/>
    <x v="1"/>
    <x v="4"/>
  </r>
  <r>
    <s v="T234"/>
    <s v="Tenant_234"/>
    <s v="9470590110"/>
    <s v="Business"/>
    <n v="6"/>
    <x v="0"/>
    <d v="2024-11-04T00:00:00"/>
    <x v="2"/>
    <n v="23579"/>
    <x v="2"/>
    <x v="1"/>
    <x v="2"/>
  </r>
  <r>
    <s v="T235"/>
    <s v="Tenant_235"/>
    <s v="9911268189"/>
    <s v="IT"/>
    <n v="5"/>
    <x v="0"/>
    <d v="2024-05-28T00:00:00"/>
    <x v="11"/>
    <n v="13073"/>
    <x v="0"/>
    <x v="0"/>
    <x v="10"/>
  </r>
  <r>
    <s v="T236"/>
    <s v="Tenant_236"/>
    <s v="9155545508"/>
    <s v="Student"/>
    <n v="3"/>
    <x v="1"/>
    <d v="2024-10-07T00:00:00"/>
    <x v="8"/>
    <n v="33882"/>
    <x v="1"/>
    <x v="1"/>
    <x v="7"/>
  </r>
  <r>
    <s v="T237"/>
    <s v="Tenant_237"/>
    <s v="9170270425"/>
    <s v="Business"/>
    <n v="1"/>
    <x v="0"/>
    <d v="2024-05-14T00:00:00"/>
    <x v="11"/>
    <n v="57288"/>
    <x v="1"/>
    <x v="1"/>
    <x v="10"/>
  </r>
  <r>
    <s v="T238"/>
    <s v="Tenant_238"/>
    <s v="9668828887"/>
    <s v="Doctor"/>
    <n v="6"/>
    <x v="1"/>
    <d v="2024-04-02T00:00:00"/>
    <x v="13"/>
    <n v="9523"/>
    <x v="1"/>
    <x v="2"/>
    <x v="11"/>
  </r>
  <r>
    <s v="T239"/>
    <s v="Tenant_239"/>
    <s v="9413423177"/>
    <s v="IT"/>
    <n v="6"/>
    <x v="1"/>
    <d v="2025-01-06T00:00:00"/>
    <x v="14"/>
    <n v="45815"/>
    <x v="0"/>
    <x v="2"/>
    <x v="5"/>
  </r>
  <r>
    <s v="T240"/>
    <s v="Tenant_240"/>
    <s v="9517976110"/>
    <s v="Doctor"/>
    <n v="2"/>
    <x v="0"/>
    <d v="2024-03-19T00:00:00"/>
    <x v="0"/>
    <n v="32768"/>
    <x v="2"/>
    <x v="0"/>
    <x v="0"/>
  </r>
  <r>
    <s v="T241"/>
    <s v="Tenant_241"/>
    <s v="9806508855"/>
    <s v="HR"/>
    <n v="6"/>
    <x v="1"/>
    <d v="2024-05-23T00:00:00"/>
    <x v="11"/>
    <n v="27622"/>
    <x v="1"/>
    <x v="1"/>
    <x v="10"/>
  </r>
  <r>
    <s v="T242"/>
    <s v="Tenant_242"/>
    <s v="9465381646"/>
    <s v="Doctor"/>
    <n v="4"/>
    <x v="0"/>
    <d v="2024-12-12T00:00:00"/>
    <x v="10"/>
    <n v="14307"/>
    <x v="1"/>
    <x v="0"/>
    <x v="9"/>
  </r>
  <r>
    <s v="T243"/>
    <s v="Tenant_243"/>
    <s v="9714497428"/>
    <s v="Student"/>
    <n v="3"/>
    <x v="0"/>
    <d v="2025-03-15T00:00:00"/>
    <x v="12"/>
    <n v="43154"/>
    <x v="0"/>
    <x v="1"/>
    <x v="0"/>
  </r>
  <r>
    <s v="T244"/>
    <s v="Tenant_244"/>
    <s v="9167637486"/>
    <s v="HR"/>
    <n v="3"/>
    <x v="0"/>
    <d v="2024-02-02T00:00:00"/>
    <x v="5"/>
    <n v="28724"/>
    <x v="2"/>
    <x v="0"/>
    <x v="4"/>
  </r>
  <r>
    <s v="T245"/>
    <s v="Tenant_245"/>
    <s v="9713235580"/>
    <s v="Doctor"/>
    <n v="4"/>
    <x v="1"/>
    <d v="2024-01-23T00:00:00"/>
    <x v="6"/>
    <n v="33171"/>
    <x v="2"/>
    <x v="2"/>
    <x v="5"/>
  </r>
  <r>
    <s v="T246"/>
    <s v="Tenant_246"/>
    <s v="9110556789"/>
    <s v="Doctor"/>
    <n v="4"/>
    <x v="0"/>
    <d v="2024-04-21T00:00:00"/>
    <x v="13"/>
    <n v="34545"/>
    <x v="1"/>
    <x v="1"/>
    <x v="11"/>
  </r>
  <r>
    <s v="T247"/>
    <s v="Tenant_247"/>
    <s v="9649229430"/>
    <s v="Student"/>
    <n v="3"/>
    <x v="1"/>
    <d v="2024-10-01T00:00:00"/>
    <x v="8"/>
    <n v="48370"/>
    <x v="0"/>
    <x v="1"/>
    <x v="7"/>
  </r>
  <r>
    <s v="T248"/>
    <s v="Tenant_248"/>
    <s v="9716466142"/>
    <s v="Business"/>
    <n v="2"/>
    <x v="1"/>
    <d v="2024-11-17T00:00:00"/>
    <x v="2"/>
    <n v="53057"/>
    <x v="1"/>
    <x v="0"/>
    <x v="2"/>
  </r>
  <r>
    <s v="T249"/>
    <s v="Tenant_249"/>
    <s v="9483911222"/>
    <s v="Doctor"/>
    <n v="2"/>
    <x v="1"/>
    <d v="2024-06-10T00:00:00"/>
    <x v="9"/>
    <n v="44743"/>
    <x v="1"/>
    <x v="0"/>
    <x v="8"/>
  </r>
  <r>
    <s v="T250"/>
    <s v="Tenant_250"/>
    <s v="9628730894"/>
    <s v="IT"/>
    <n v="3"/>
    <x v="0"/>
    <d v="2024-06-03T00:00:00"/>
    <x v="9"/>
    <n v="20358"/>
    <x v="0"/>
    <x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F2EF22-68DC-47A3-A20F-D31DD83703B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21" firstHeaderRow="1" firstDataRow="1" firstDataCol="1"/>
  <pivotFields count="12">
    <pivotField showAll="0"/>
    <pivotField showAll="0"/>
    <pivotField showAll="0">
      <items count="4">
        <item x="1"/>
        <item x="0"/>
        <item x="2"/>
        <item t="default"/>
      </items>
    </pivotField>
    <pivotField showAll="0">
      <items count="6">
        <item x="3"/>
        <item x="4"/>
        <item x="2"/>
        <item x="0"/>
        <item x="1"/>
        <item t="default"/>
      </items>
    </pivotField>
    <pivotField showAll="0"/>
    <pivotField showAll="0"/>
    <pivotField showAll="0"/>
    <pivotField showAll="0"/>
    <pivotField showAll="0"/>
    <pivotField numFmtId="164" showAll="0"/>
    <pivotField axis="axisRow" showAll="0">
      <items count="6">
        <item x="1"/>
        <item x="0"/>
        <item x="2"/>
        <item x="3"/>
        <item x="4"/>
        <item t="default"/>
      </items>
    </pivotField>
    <pivotField dataField="1" showAll="0"/>
  </pivotFields>
  <rowFields count="1">
    <field x="10"/>
  </rowFields>
  <rowItems count="6">
    <i>
      <x/>
    </i>
    <i>
      <x v="1"/>
    </i>
    <i>
      <x v="2"/>
    </i>
    <i>
      <x v="3"/>
    </i>
    <i>
      <x v="4"/>
    </i>
    <i t="grand">
      <x/>
    </i>
  </rowItems>
  <colItems count="1">
    <i/>
  </colItems>
  <dataFields count="1">
    <dataField name="Sum of Expenses Amount" fld="1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492DF6-9BD2-4483-B9F9-69E04169212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2">
    <pivotField showAll="0"/>
    <pivotField showAll="0"/>
    <pivotField showAll="0">
      <items count="4">
        <item x="1"/>
        <item x="0"/>
        <item x="2"/>
        <item t="default"/>
      </items>
    </pivotField>
    <pivotField axis="axisRow" showAll="0">
      <items count="6">
        <item x="3"/>
        <item x="4"/>
        <item x="2"/>
        <item x="0"/>
        <item x="1"/>
        <item t="default"/>
      </items>
    </pivotField>
    <pivotField showAll="0"/>
    <pivotField dataField="1" showAll="0"/>
    <pivotField showAll="0"/>
    <pivotField showAll="0"/>
    <pivotField showAll="0"/>
    <pivotField numFmtId="164" showAll="0"/>
    <pivotField showAll="0"/>
    <pivotField showAll="0"/>
  </pivotFields>
  <rowFields count="1">
    <field x="3"/>
  </rowFields>
  <rowItems count="6">
    <i>
      <x/>
    </i>
    <i>
      <x v="1"/>
    </i>
    <i>
      <x v="2"/>
    </i>
    <i>
      <x v="3"/>
    </i>
    <i>
      <x v="4"/>
    </i>
    <i t="grand">
      <x/>
    </i>
  </rowItems>
  <colItems count="1">
    <i/>
  </colItems>
  <dataFields count="1">
    <dataField name="Sum of Expected_Ren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4CFB1-D858-47BD-9E77-AD57FBC533B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M5" firstHeaderRow="1" firstDataRow="1" firstDataCol="1"/>
  <pivotFields count="12">
    <pivotField showAll="0"/>
    <pivotField showAll="0"/>
    <pivotField axis="axisRow" showAll="0">
      <items count="4">
        <item x="1"/>
        <item x="0"/>
        <item x="2"/>
        <item t="default"/>
      </items>
    </pivotField>
    <pivotField showAll="0">
      <items count="6">
        <item x="3"/>
        <item x="4"/>
        <item x="2"/>
        <item x="0"/>
        <item x="1"/>
        <item t="default"/>
      </items>
    </pivotField>
    <pivotField showAll="0"/>
    <pivotField showAll="0"/>
    <pivotField showAll="0"/>
    <pivotField showAll="0"/>
    <pivotField showAll="0"/>
    <pivotField numFmtId="164" showAll="0"/>
    <pivotField showAll="0"/>
    <pivotField dataField="1" showAll="0"/>
  </pivotFields>
  <rowFields count="1">
    <field x="2"/>
  </rowFields>
  <rowItems count="4">
    <i>
      <x/>
    </i>
    <i>
      <x v="1"/>
    </i>
    <i>
      <x v="2"/>
    </i>
    <i t="grand">
      <x/>
    </i>
  </rowItems>
  <colItems count="1">
    <i/>
  </colItems>
  <dataFields count="1">
    <dataField name="Sum of Expenses Amount" fld="11"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8B4624-FFE4-422E-A189-A063A8C7F2B4}"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1:H25" firstHeaderRow="1" firstDataRow="1" firstDataCol="1"/>
  <pivotFields count="12">
    <pivotField showAll="0"/>
    <pivotField showAll="0"/>
    <pivotField showAll="0"/>
    <pivotField showAll="0"/>
    <pivotField showAll="0"/>
    <pivotField showAll="0">
      <items count="3">
        <item x="0"/>
        <item x="1"/>
        <item t="default"/>
      </items>
    </pivotField>
    <pivotField numFmtId="164" showAll="0"/>
    <pivotField showAll="0"/>
    <pivotField dataField="1" showAll="0"/>
    <pivotField axis="axisRow" showAll="0">
      <items count="4">
        <item x="2"/>
        <item x="1"/>
        <item x="0"/>
        <item t="default"/>
      </items>
    </pivotField>
    <pivotField showAll="0">
      <items count="4">
        <item x="2"/>
        <item x="1"/>
        <item x="0"/>
        <item t="default"/>
      </items>
    </pivotField>
    <pivotField showAll="0">
      <items count="13">
        <item x="5"/>
        <item x="4"/>
        <item x="0"/>
        <item x="11"/>
        <item x="10"/>
        <item x="8"/>
        <item x="3"/>
        <item x="1"/>
        <item x="6"/>
        <item x="7"/>
        <item x="2"/>
        <item x="9"/>
        <item t="default"/>
      </items>
    </pivotField>
  </pivotFields>
  <rowFields count="1">
    <field x="9"/>
  </rowFields>
  <rowItems count="4">
    <i>
      <x/>
    </i>
    <i>
      <x v="1"/>
    </i>
    <i>
      <x v="2"/>
    </i>
    <i t="grand">
      <x/>
    </i>
  </rowItems>
  <colItems count="1">
    <i/>
  </colItems>
  <dataFields count="1">
    <dataField name="Sum of Paid_Amount" fld="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53942E-1676-4B58-B3A1-66FBB2C16CBC}"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14" firstHeaderRow="1" firstDataRow="1" firstDataCol="1"/>
  <pivotFields count="12">
    <pivotField showAll="0"/>
    <pivotField showAll="0"/>
    <pivotField showAll="0"/>
    <pivotField showAll="0"/>
    <pivotField showAll="0"/>
    <pivotField showAll="0"/>
    <pivotField numFmtId="164" showAll="0"/>
    <pivotField showAll="0">
      <items count="16">
        <item h="1" x="6"/>
        <item x="5"/>
        <item h="1" x="0"/>
        <item h="1" x="13"/>
        <item h="1" x="11"/>
        <item h="1" x="9"/>
        <item h="1" x="3"/>
        <item h="1" x="1"/>
        <item h="1" x="7"/>
        <item h="1" x="8"/>
        <item h="1" x="2"/>
        <item h="1" x="10"/>
        <item h="1" x="14"/>
        <item h="1" x="4"/>
        <item h="1" x="12"/>
        <item t="default"/>
      </items>
    </pivotField>
    <pivotField dataField="1" showAll="0"/>
    <pivotField showAll="0">
      <items count="4">
        <item x="2"/>
        <item x="1"/>
        <item x="0"/>
        <item t="default"/>
      </items>
    </pivotField>
    <pivotField showAll="0">
      <items count="4">
        <item x="2"/>
        <item x="1"/>
        <item x="0"/>
        <item t="default"/>
      </items>
    </pivotField>
    <pivotField axis="axisRow" showAll="0">
      <items count="13">
        <item x="5"/>
        <item x="4"/>
        <item x="0"/>
        <item x="11"/>
        <item x="10"/>
        <item x="8"/>
        <item x="3"/>
        <item x="1"/>
        <item x="6"/>
        <item x="7"/>
        <item x="2"/>
        <item x="9"/>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Paid_Amount"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E44D9647-C045-4795-A466-3A4BDF3C37D2}" sourceName="Property_Type">
  <pivotTables>
    <pivotTable tabId="6" name="PivotTable16"/>
    <pivotTable tabId="6" name="PivotTable17"/>
    <pivotTable tabId="6" name="PivotTable20"/>
  </pivotTables>
  <data>
    <tabular pivotCacheId="74406026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2F268A2-5AC2-45CE-8883-A150FD1D9031}" sourceName="City">
  <pivotTables>
    <pivotTable tabId="6" name="PivotTable16"/>
    <pivotTable tabId="6" name="PivotTable17"/>
    <pivotTable tabId="6" name="PivotTable20"/>
  </pivotTables>
  <data>
    <tabular pivotCacheId="744060260">
      <items count="5">
        <i x="3" s="1"/>
        <i x="4"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60E60D0-E1AF-4303-B014-F9FD0B9AED6C}" sourceName="Payment_Mode">
  <pivotTables>
    <pivotTable tabId="6" name="PivotTable18"/>
    <pivotTable tabId="6" name="PivotTable19"/>
  </pivotTables>
  <data>
    <tabular pivotCacheId="95967280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EF7ABDF-EAA5-42DD-8DFC-AD3366DFFB25}" sourceName="MONTH">
  <pivotTables>
    <pivotTable tabId="6" name="PivotTable19"/>
  </pivotTables>
  <data>
    <tabular pivotCacheId="959672801">
      <items count="12">
        <i x="5" s="1"/>
        <i x="4" s="1"/>
        <i x="0" s="1"/>
        <i x="11" s="1"/>
        <i x="10" s="1"/>
        <i x="8" s="1"/>
        <i x="3" s="1"/>
        <i x="1" s="1"/>
        <i x="6" s="1"/>
        <i x="7" s="1"/>
        <i x="2"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E009159B-B6AD-4933-A030-2E793DA9084D}" sourceName="Payment_Status">
  <pivotTables>
    <pivotTable tabId="6" name="PivotTable18"/>
    <pivotTable tabId="6" name="PivotTable19"/>
  </pivotTables>
  <data>
    <tabular pivotCacheId="9596728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perty_Type 1" xr10:uid="{FA7B97C7-6DBA-48F6-8EBE-4854EADB6D6A}" cache="Slicer_Property_Type" caption="PROPERTY TYPE" rowHeight="234950"/>
  <slicer name="City 1" xr10:uid="{7AA8D5BA-DF06-45D3-841B-1D7C0BC3445A}" cache="Slicer_City" caption="CITY" rowHeight="234950"/>
  <slicer name="Payment_Mode 1" xr10:uid="{FC86AF95-FD6D-429B-B1E2-FBDF81AFD57F}" cache="Slicer_Payment_Mode" caption="PAYMENT MODE" rowHeight="234950"/>
  <slicer name="MONTH 1" xr10:uid="{0B7C1F69-EB6F-49D6-A352-30C01CFDD9F4}" cache="Slicer_MONTH" caption="MONTH" columnCount="2" rowHeight="234950"/>
  <slicer name="Payment_Status 1" xr10:uid="{4EFB87EB-1E84-4F9F-B04D-DAF4D989E816}" cache="Slicer_Payment_Status" caption="PAYMEN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D3E993-D21C-43CC-9ED6-CC8EC57A8706}" name="Properties" displayName="Properties" ref="A1:L251" totalsRowShown="0">
  <autoFilter ref="A1:L251" xr:uid="{86D3E993-D21C-43CC-9ED6-CC8EC57A8706}"/>
  <tableColumns count="12">
    <tableColumn id="1" xr3:uid="{1C9A0BAE-F261-4738-9001-990E18AA78A8}" name="Property_ID"/>
    <tableColumn id="2" xr3:uid="{2CAEA705-12BD-4EB8-9AB5-4B439C5F1B87}" name="Property_Name"/>
    <tableColumn id="3" xr3:uid="{9774E457-62F5-4D36-8748-765541564F7C}" name="Property_Type"/>
    <tableColumn id="4" xr3:uid="{2C4CA545-C2F6-4696-868A-86E354D8CA35}" name="City"/>
    <tableColumn id="5" xr3:uid="{4A95ADC5-3236-4EE6-A1C6-8864FA87FA75}" name="Furnished_Status"/>
    <tableColumn id="6" xr3:uid="{D8ABD46B-122A-403F-AF4C-F9094E038830}" name="Expected_Rent"/>
    <tableColumn id="7" xr3:uid="{4B98CDFC-730B-43CA-8B23-6A0E72B67194}" name="Security_Deposit"/>
    <tableColumn id="8" xr3:uid="{CBFDB2AC-F700-412E-A524-3DA59197D8EE}" name="Maintenance_Charge"/>
    <tableColumn id="9" xr3:uid="{6EB92E26-9548-4D98-BD39-394EB24F3074}" name="Property_Status"/>
    <tableColumn id="10" xr3:uid="{92ECE61C-48A7-4524-9AB7-9D1C122DAEF1}" name="Purchase_Date" dataDxfId="4"/>
    <tableColumn id="11" xr3:uid="{233E6AFA-A7BD-495F-9767-BF080340609D}" name="Expense_Type"/>
    <tableColumn id="12" xr3:uid="{4B2C6B23-58A9-4238-9698-E908A60114FC}" name="Expenses Amount"/>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D24497-C572-4CA7-AB9F-C4BE0B37876E}" name="Table5" displayName="Table5" ref="N1:N2" totalsRowShown="0">
  <autoFilter ref="N1:N2" xr:uid="{88D24497-C572-4CA7-AB9F-C4BE0B37876E}"/>
  <tableColumns count="1">
    <tableColumn id="1" xr3:uid="{EE375610-E24B-4E85-BF8B-5C51D22088C5}" name="TOTAL PROPERTIES">
      <calculatedColumnFormula>COUNTA(Properties[Property_ID])</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647B04E-0CAF-4DC4-9C8D-F550A3BCDB72}" name="Table6" displayName="Table6" ref="N4:N5" totalsRowShown="0">
  <autoFilter ref="N4:N5" xr:uid="{9647B04E-0CAF-4DC4-9C8D-F550A3BCDB72}"/>
  <tableColumns count="1">
    <tableColumn id="1" xr3:uid="{04D27439-FE51-47CC-A8F7-0E3E62BAD14F}" name="TOTAL EXPENSES">
      <calculatedColumnFormula>SUM(Properties[Expenses Amount])</calculatedColumnFormula>
    </tableColumn>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9709BA-E415-4D1A-AEB1-6CBA9D2F2B4A}" name="Table7" displayName="Table7" ref="N7:N8" totalsRowShown="0" dataDxfId="0">
  <autoFilter ref="N7:N8" xr:uid="{D59709BA-E415-4D1A-AEB1-6CBA9D2F2B4A}"/>
  <tableColumns count="1">
    <tableColumn id="1" xr3:uid="{FA3FE9AB-78F5-479F-8B46-09B70B703195}" name="NET PROFIT" dataDxfId="1">
      <calculatedColumnFormula>SUM(Properties!L:L) - SUM(Tenants!I:I)</calculatedColumnFormula>
    </tableColumn>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3495D3-E54B-4E23-BB13-C6CB88F511AF}" name="Tenants" displayName="Tenants" ref="A1:L251" totalsRowShown="0">
  <autoFilter ref="A1:L251" xr:uid="{5A3495D3-E54B-4E23-BB13-C6CB88F511AF}"/>
  <tableColumns count="12">
    <tableColumn id="1" xr3:uid="{6E2C5549-69DD-447D-B535-F06075795734}" name="Tenant_ID"/>
    <tableColumn id="2" xr3:uid="{055B4D92-77C2-4A19-98B3-E41DD8533443}" name="Tenant_Name"/>
    <tableColumn id="3" xr3:uid="{60A17C18-E4E9-4288-847C-2906E8FF510C}" name="Phone"/>
    <tableColumn id="4" xr3:uid="{C4522F26-8BC1-47FE-911F-85549EB68B8C}" name="Occupation"/>
    <tableColumn id="5" xr3:uid="{6ABA0EE1-2F15-4A8E-9855-57E8741990BA}" name="Family_Members"/>
    <tableColumn id="6" xr3:uid="{54F6F0AA-1DD0-47FD-B7C7-6A1A335F24C6}" name="Tenant_Status"/>
    <tableColumn id="7" xr3:uid="{84B01222-C202-4D23-93D3-433F913D6261}" name="Payment_Date" dataDxfId="3"/>
    <tableColumn id="8" xr3:uid="{35689B0D-6A83-4616-AA86-E6AD7FC43247}" name="Payment_Month"/>
    <tableColumn id="9" xr3:uid="{3672A692-F656-426B-9B75-FBB4FBD994BD}" name="Paid_Amount"/>
    <tableColumn id="10" xr3:uid="{0B4FBDD2-8F07-4113-B8C8-A512E34AAA84}" name="Payment_Mode"/>
    <tableColumn id="11" xr3:uid="{17BA3F97-9619-42E8-B2B6-68B4F52A76FC}" name="Payment_Status"/>
    <tableColumn id="12" xr3:uid="{02E7706B-805C-4963-9D0B-5714F7275176}" name="MONTH" dataDxfId="2">
      <calculatedColumnFormula>TEXT(Tenants[Payment_Date],"mmm")</calculatedColumnFormula>
    </tableColumn>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8AE79E-3AE4-46F2-9240-BD73C4A7FF9F}" name="Table3" displayName="Table3" ref="N1:N2" totalsRowShown="0">
  <autoFilter ref="N1:N2" xr:uid="{A58AE79E-3AE4-46F2-9240-BD73C4A7FF9F}"/>
  <tableColumns count="1">
    <tableColumn id="1" xr3:uid="{3346815E-EF83-4B7D-8086-8730C4BE98B2}" name="TOTAL RENT COLLECTED">
      <calculatedColumnFormula>SUM(Tenants[Paid_Amount])</calculatedColumnFormula>
    </tableColumn>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EEB5C9-3709-4F6E-A2EF-79992D04CC0E}" name="Table4" displayName="Table4" ref="N4:N5" totalsRowShown="0">
  <autoFilter ref="N4:N5" xr:uid="{BDEEB5C9-3709-4F6E-A2EF-79992D04CC0E}"/>
  <tableColumns count="1">
    <tableColumn id="1" xr3:uid="{4977E3D1-F904-4095-9AE5-2B4CD22429D7}" name="ACTIVE TENANT">
      <calculatedColumnFormula>COUNTIF(Tenants[Tenant_Status],"ACTIVE")</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4D6C-AD6A-4FE4-AB3F-F41568836A10}">
  <dimension ref="Q41"/>
  <sheetViews>
    <sheetView showGridLines="0" showRowColHeaders="0" tabSelected="1" zoomScale="90" zoomScaleNormal="90" workbookViewId="0">
      <selection activeCell="Z19" sqref="Z19"/>
    </sheetView>
  </sheetViews>
  <sheetFormatPr defaultRowHeight="14.4" x14ac:dyDescent="0.3"/>
  <sheetData>
    <row r="41" spans="17:17" x14ac:dyDescent="0.3">
      <c r="Q4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673DB-6D19-496D-A5EA-98912B490154}">
  <dimension ref="A1:M25"/>
  <sheetViews>
    <sheetView zoomScale="90" zoomScaleNormal="90" workbookViewId="0">
      <selection activeCell="J16" sqref="J16"/>
    </sheetView>
  </sheetViews>
  <sheetFormatPr defaultRowHeight="14.4" x14ac:dyDescent="0.3"/>
  <cols>
    <col min="1" max="1" width="13.44140625" bestFit="1" customWidth="1"/>
    <col min="2" max="2" width="23.6640625" bestFit="1" customWidth="1"/>
    <col min="7" max="7" width="18" bestFit="1" customWidth="1"/>
    <col min="8" max="8" width="25.77734375" bestFit="1" customWidth="1"/>
    <col min="9" max="9" width="7" bestFit="1" customWidth="1"/>
    <col min="10" max="10" width="10.77734375" bestFit="1" customWidth="1"/>
    <col min="11" max="11" width="12.5546875" bestFit="1" customWidth="1"/>
    <col min="12" max="12" width="13.44140625" bestFit="1" customWidth="1"/>
    <col min="13" max="13" width="23.6640625" bestFit="1" customWidth="1"/>
    <col min="14" max="14" width="27.6640625" bestFit="1" customWidth="1"/>
    <col min="15" max="15" width="14.33203125" bestFit="1" customWidth="1"/>
    <col min="16" max="16" width="22.77734375" bestFit="1" customWidth="1"/>
  </cols>
  <sheetData>
    <row r="1" spans="1:13" x14ac:dyDescent="0.3">
      <c r="A1" s="2" t="s">
        <v>1089</v>
      </c>
      <c r="B1" t="s">
        <v>1104</v>
      </c>
      <c r="G1" s="2" t="s">
        <v>1089</v>
      </c>
      <c r="H1" t="s">
        <v>1088</v>
      </c>
      <c r="L1" s="2" t="s">
        <v>1089</v>
      </c>
      <c r="M1" t="s">
        <v>1106</v>
      </c>
    </row>
    <row r="2" spans="1:13" x14ac:dyDescent="0.3">
      <c r="A2" s="3" t="s">
        <v>27</v>
      </c>
      <c r="B2">
        <v>1853931</v>
      </c>
      <c r="G2" s="3" t="s">
        <v>1092</v>
      </c>
      <c r="H2">
        <v>945898</v>
      </c>
      <c r="L2" s="3" t="s">
        <v>16</v>
      </c>
      <c r="M2">
        <v>795294</v>
      </c>
    </row>
    <row r="3" spans="1:13" x14ac:dyDescent="0.3">
      <c r="A3" s="3" t="s">
        <v>34</v>
      </c>
      <c r="B3">
        <v>1503796</v>
      </c>
      <c r="G3" s="3" t="s">
        <v>1093</v>
      </c>
      <c r="H3">
        <v>1347683</v>
      </c>
      <c r="L3" s="3" t="s">
        <v>11</v>
      </c>
      <c r="M3">
        <v>893590</v>
      </c>
    </row>
    <row r="4" spans="1:13" x14ac:dyDescent="0.3">
      <c r="A4" s="3" t="s">
        <v>21</v>
      </c>
      <c r="B4">
        <v>2001652</v>
      </c>
      <c r="G4" s="3" t="s">
        <v>1094</v>
      </c>
      <c r="H4">
        <v>911347</v>
      </c>
      <c r="L4" s="3" t="s">
        <v>20</v>
      </c>
      <c r="M4">
        <v>1021962</v>
      </c>
    </row>
    <row r="5" spans="1:13" x14ac:dyDescent="0.3">
      <c r="A5" s="3" t="s">
        <v>12</v>
      </c>
      <c r="B5">
        <v>2139188</v>
      </c>
      <c r="G5" s="3" t="s">
        <v>1095</v>
      </c>
      <c r="H5">
        <v>571527</v>
      </c>
      <c r="L5" s="3" t="s">
        <v>1090</v>
      </c>
      <c r="M5">
        <v>2710846</v>
      </c>
    </row>
    <row r="6" spans="1:13" x14ac:dyDescent="0.3">
      <c r="A6" s="3" t="s">
        <v>17</v>
      </c>
      <c r="B6">
        <v>1720676</v>
      </c>
      <c r="G6" s="3" t="s">
        <v>1096</v>
      </c>
      <c r="H6">
        <v>589289</v>
      </c>
    </row>
    <row r="7" spans="1:13" x14ac:dyDescent="0.3">
      <c r="A7" s="3" t="s">
        <v>1090</v>
      </c>
      <c r="B7">
        <v>9219243</v>
      </c>
      <c r="G7" s="3" t="s">
        <v>1097</v>
      </c>
      <c r="H7">
        <v>707066</v>
      </c>
    </row>
    <row r="8" spans="1:13" x14ac:dyDescent="0.3">
      <c r="G8" s="3" t="s">
        <v>1098</v>
      </c>
      <c r="H8">
        <v>278502</v>
      </c>
    </row>
    <row r="9" spans="1:13" x14ac:dyDescent="0.3">
      <c r="G9" s="3" t="s">
        <v>1099</v>
      </c>
      <c r="H9">
        <v>935402</v>
      </c>
    </row>
    <row r="10" spans="1:13" x14ac:dyDescent="0.3">
      <c r="G10" s="3" t="s">
        <v>1100</v>
      </c>
      <c r="H10">
        <v>589490</v>
      </c>
    </row>
    <row r="11" spans="1:13" x14ac:dyDescent="0.3">
      <c r="G11" s="3" t="s">
        <v>1101</v>
      </c>
      <c r="H11">
        <v>337055</v>
      </c>
    </row>
    <row r="12" spans="1:13" x14ac:dyDescent="0.3">
      <c r="G12" s="3" t="s">
        <v>1102</v>
      </c>
      <c r="H12">
        <v>728501</v>
      </c>
    </row>
    <row r="13" spans="1:13" x14ac:dyDescent="0.3">
      <c r="G13" s="3" t="s">
        <v>1103</v>
      </c>
      <c r="H13">
        <v>410014</v>
      </c>
    </row>
    <row r="14" spans="1:13" x14ac:dyDescent="0.3">
      <c r="G14" s="3" t="s">
        <v>1090</v>
      </c>
      <c r="H14">
        <v>8351774</v>
      </c>
    </row>
    <row r="15" spans="1:13" x14ac:dyDescent="0.3">
      <c r="A15" s="2" t="s">
        <v>1089</v>
      </c>
      <c r="B15" t="s">
        <v>1106</v>
      </c>
    </row>
    <row r="16" spans="1:13" x14ac:dyDescent="0.3">
      <c r="A16" s="3" t="s">
        <v>1064</v>
      </c>
      <c r="B16">
        <v>703300</v>
      </c>
    </row>
    <row r="17" spans="1:8" x14ac:dyDescent="0.3">
      <c r="A17" s="3" t="s">
        <v>1063</v>
      </c>
      <c r="B17">
        <v>573598</v>
      </c>
    </row>
    <row r="18" spans="1:8" x14ac:dyDescent="0.3">
      <c r="A18" s="3" t="s">
        <v>1065</v>
      </c>
      <c r="B18">
        <v>542191</v>
      </c>
    </row>
    <row r="19" spans="1:8" x14ac:dyDescent="0.3">
      <c r="A19" s="3" t="s">
        <v>1066</v>
      </c>
      <c r="B19">
        <v>474280</v>
      </c>
    </row>
    <row r="20" spans="1:8" x14ac:dyDescent="0.3">
      <c r="A20" s="3" t="s">
        <v>1067</v>
      </c>
      <c r="B20">
        <v>417477</v>
      </c>
    </row>
    <row r="21" spans="1:8" x14ac:dyDescent="0.3">
      <c r="A21" s="3" t="s">
        <v>1090</v>
      </c>
      <c r="B21">
        <v>2710846</v>
      </c>
      <c r="G21" s="2" t="s">
        <v>1089</v>
      </c>
      <c r="H21" t="s">
        <v>1088</v>
      </c>
    </row>
    <row r="22" spans="1:8" x14ac:dyDescent="0.3">
      <c r="G22" s="3" t="s">
        <v>1049</v>
      </c>
      <c r="H22">
        <v>2741907</v>
      </c>
    </row>
    <row r="23" spans="1:8" x14ac:dyDescent="0.3">
      <c r="G23" s="3" t="s">
        <v>1045</v>
      </c>
      <c r="H23">
        <v>2526258</v>
      </c>
    </row>
    <row r="24" spans="1:8" x14ac:dyDescent="0.3">
      <c r="G24" s="3" t="s">
        <v>1042</v>
      </c>
      <c r="H24">
        <v>3083609</v>
      </c>
    </row>
    <row r="25" spans="1:8" x14ac:dyDescent="0.3">
      <c r="G25" s="3" t="s">
        <v>1090</v>
      </c>
      <c r="H25">
        <v>8351774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1"/>
  <sheetViews>
    <sheetView topLeftCell="C1" workbookViewId="0">
      <selection activeCell="N18" sqref="N18"/>
    </sheetView>
  </sheetViews>
  <sheetFormatPr defaultRowHeight="14.4" x14ac:dyDescent="0.3"/>
  <cols>
    <col min="1" max="1" width="13" customWidth="1"/>
    <col min="2" max="2" width="22.5546875" bestFit="1" customWidth="1"/>
    <col min="3" max="3" width="15.33203125" customWidth="1"/>
    <col min="4" max="4" width="9.77734375" bestFit="1" customWidth="1"/>
    <col min="5" max="5" width="17.33203125" customWidth="1"/>
    <col min="6" max="6" width="15.44140625" customWidth="1"/>
    <col min="7" max="7" width="17" customWidth="1"/>
    <col min="8" max="8" width="20.88671875" customWidth="1"/>
    <col min="9" max="9" width="16.44140625" customWidth="1"/>
    <col min="10" max="10" width="15.44140625" customWidth="1"/>
    <col min="12" max="12" width="18.88671875" customWidth="1"/>
    <col min="14" max="14" width="19.109375" customWidth="1"/>
  </cols>
  <sheetData>
    <row r="1" spans="1:14" x14ac:dyDescent="0.3">
      <c r="A1" t="s">
        <v>0</v>
      </c>
      <c r="B1" t="s">
        <v>1</v>
      </c>
      <c r="C1" t="s">
        <v>2</v>
      </c>
      <c r="D1" t="s">
        <v>3</v>
      </c>
      <c r="E1" t="s">
        <v>4</v>
      </c>
      <c r="F1" t="s">
        <v>5</v>
      </c>
      <c r="G1" t="s">
        <v>6</v>
      </c>
      <c r="H1" t="s">
        <v>7</v>
      </c>
      <c r="I1" t="s">
        <v>8</v>
      </c>
      <c r="J1" t="s">
        <v>9</v>
      </c>
      <c r="K1" t="s">
        <v>1062</v>
      </c>
      <c r="L1" t="s">
        <v>1105</v>
      </c>
      <c r="N1" t="s">
        <v>1086</v>
      </c>
    </row>
    <row r="2" spans="1:14" x14ac:dyDescent="0.3">
      <c r="A2" t="s">
        <v>10</v>
      </c>
      <c r="B2" t="s">
        <v>1076</v>
      </c>
      <c r="C2" t="s">
        <v>11</v>
      </c>
      <c r="D2" t="s">
        <v>12</v>
      </c>
      <c r="E2" t="s">
        <v>13</v>
      </c>
      <c r="F2">
        <v>21219</v>
      </c>
      <c r="G2">
        <v>130428</v>
      </c>
      <c r="H2">
        <v>3331</v>
      </c>
      <c r="I2" t="s">
        <v>14</v>
      </c>
      <c r="J2" s="1">
        <v>43236</v>
      </c>
      <c r="K2" t="s">
        <v>1063</v>
      </c>
      <c r="L2">
        <v>15152</v>
      </c>
      <c r="N2">
        <f>COUNTA(Properties[Property_ID])</f>
        <v>250</v>
      </c>
    </row>
    <row r="3" spans="1:14" x14ac:dyDescent="0.3">
      <c r="A3" t="s">
        <v>15</v>
      </c>
      <c r="B3" t="s">
        <v>1072</v>
      </c>
      <c r="C3" t="s">
        <v>16</v>
      </c>
      <c r="D3" t="s">
        <v>17</v>
      </c>
      <c r="E3" t="s">
        <v>13</v>
      </c>
      <c r="F3">
        <v>25579</v>
      </c>
      <c r="G3">
        <v>82327</v>
      </c>
      <c r="H3">
        <v>3236</v>
      </c>
      <c r="I3" t="s">
        <v>18</v>
      </c>
      <c r="J3" s="1">
        <v>43638</v>
      </c>
      <c r="K3" t="s">
        <v>1063</v>
      </c>
      <c r="L3">
        <v>12925</v>
      </c>
    </row>
    <row r="4" spans="1:14" x14ac:dyDescent="0.3">
      <c r="A4" t="s">
        <v>19</v>
      </c>
      <c r="B4" t="s">
        <v>1080</v>
      </c>
      <c r="C4" t="s">
        <v>20</v>
      </c>
      <c r="D4" t="s">
        <v>21</v>
      </c>
      <c r="E4" t="s">
        <v>13</v>
      </c>
      <c r="F4">
        <v>25205</v>
      </c>
      <c r="G4">
        <v>105201</v>
      </c>
      <c r="H4">
        <v>5251</v>
      </c>
      <c r="I4" t="s">
        <v>18</v>
      </c>
      <c r="J4" s="1">
        <v>44155</v>
      </c>
      <c r="K4" t="s">
        <v>1064</v>
      </c>
      <c r="L4">
        <v>5033</v>
      </c>
      <c r="N4" t="s">
        <v>1087</v>
      </c>
    </row>
    <row r="5" spans="1:14" x14ac:dyDescent="0.3">
      <c r="A5" t="s">
        <v>22</v>
      </c>
      <c r="B5" t="s">
        <v>1080</v>
      </c>
      <c r="C5" t="s">
        <v>20</v>
      </c>
      <c r="D5" t="s">
        <v>21</v>
      </c>
      <c r="E5" t="s">
        <v>23</v>
      </c>
      <c r="F5">
        <v>19078</v>
      </c>
      <c r="G5">
        <v>79576</v>
      </c>
      <c r="H5">
        <v>2712</v>
      </c>
      <c r="I5" t="s">
        <v>14</v>
      </c>
      <c r="J5" s="1">
        <v>43512</v>
      </c>
      <c r="K5" t="s">
        <v>1065</v>
      </c>
      <c r="L5">
        <v>6401</v>
      </c>
      <c r="N5">
        <f>SUM(Properties[Expenses Amount])</f>
        <v>2710846</v>
      </c>
    </row>
    <row r="6" spans="1:14" x14ac:dyDescent="0.3">
      <c r="A6" t="s">
        <v>24</v>
      </c>
      <c r="B6" t="s">
        <v>1071</v>
      </c>
      <c r="C6" t="s">
        <v>16</v>
      </c>
      <c r="D6" t="s">
        <v>12</v>
      </c>
      <c r="E6" t="s">
        <v>25</v>
      </c>
      <c r="F6">
        <v>21104</v>
      </c>
      <c r="G6">
        <v>187324</v>
      </c>
      <c r="H6">
        <v>4427</v>
      </c>
      <c r="I6" t="s">
        <v>14</v>
      </c>
      <c r="J6" s="1">
        <v>45473</v>
      </c>
      <c r="K6" t="s">
        <v>1065</v>
      </c>
      <c r="L6">
        <v>14781</v>
      </c>
    </row>
    <row r="7" spans="1:14" x14ac:dyDescent="0.3">
      <c r="A7" t="s">
        <v>26</v>
      </c>
      <c r="B7" t="s">
        <v>1073</v>
      </c>
      <c r="C7" t="s">
        <v>11</v>
      </c>
      <c r="D7" t="s">
        <v>27</v>
      </c>
      <c r="E7" t="s">
        <v>13</v>
      </c>
      <c r="F7">
        <v>31831</v>
      </c>
      <c r="G7">
        <v>131150</v>
      </c>
      <c r="H7">
        <v>6968</v>
      </c>
      <c r="I7" t="s">
        <v>18</v>
      </c>
      <c r="J7" s="1">
        <v>43184</v>
      </c>
      <c r="K7" t="s">
        <v>1064</v>
      </c>
      <c r="L7">
        <v>10498</v>
      </c>
      <c r="N7" t="s">
        <v>1085</v>
      </c>
    </row>
    <row r="8" spans="1:14" x14ac:dyDescent="0.3">
      <c r="A8" t="s">
        <v>28</v>
      </c>
      <c r="B8" t="s">
        <v>1075</v>
      </c>
      <c r="C8" t="s">
        <v>11</v>
      </c>
      <c r="D8" t="s">
        <v>21</v>
      </c>
      <c r="E8" t="s">
        <v>13</v>
      </c>
      <c r="F8">
        <v>33604</v>
      </c>
      <c r="G8">
        <v>143294</v>
      </c>
      <c r="H8">
        <v>2957</v>
      </c>
      <c r="I8" t="s">
        <v>14</v>
      </c>
      <c r="J8" s="1">
        <v>43232</v>
      </c>
      <c r="K8" t="s">
        <v>1064</v>
      </c>
      <c r="L8">
        <v>13976</v>
      </c>
      <c r="N8" s="5">
        <f>SUM(Properties!L:L) - SUM(Tenants!I:I)</f>
        <v>-5640928</v>
      </c>
    </row>
    <row r="9" spans="1:14" x14ac:dyDescent="0.3">
      <c r="A9" t="s">
        <v>29</v>
      </c>
      <c r="B9" t="s">
        <v>1070</v>
      </c>
      <c r="C9" t="s">
        <v>16</v>
      </c>
      <c r="D9" t="s">
        <v>21</v>
      </c>
      <c r="E9" t="s">
        <v>23</v>
      </c>
      <c r="F9">
        <v>59932</v>
      </c>
      <c r="G9">
        <v>219497</v>
      </c>
      <c r="H9">
        <v>6774</v>
      </c>
      <c r="I9" t="s">
        <v>14</v>
      </c>
      <c r="J9" s="1">
        <v>43456</v>
      </c>
      <c r="K9" t="s">
        <v>1063</v>
      </c>
      <c r="L9">
        <v>19760</v>
      </c>
    </row>
    <row r="10" spans="1:14" x14ac:dyDescent="0.3">
      <c r="A10" t="s">
        <v>30</v>
      </c>
      <c r="B10" t="s">
        <v>1073</v>
      </c>
      <c r="C10" t="s">
        <v>11</v>
      </c>
      <c r="D10" t="s">
        <v>27</v>
      </c>
      <c r="E10" t="s">
        <v>25</v>
      </c>
      <c r="F10">
        <v>53629</v>
      </c>
      <c r="G10">
        <v>67835</v>
      </c>
      <c r="H10">
        <v>1778</v>
      </c>
      <c r="I10" t="s">
        <v>14</v>
      </c>
      <c r="J10" s="1">
        <v>45401</v>
      </c>
      <c r="K10" t="s">
        <v>1066</v>
      </c>
      <c r="L10">
        <v>8413</v>
      </c>
    </row>
    <row r="11" spans="1:14" x14ac:dyDescent="0.3">
      <c r="A11" t="s">
        <v>31</v>
      </c>
      <c r="B11" t="s">
        <v>1075</v>
      </c>
      <c r="C11" t="s">
        <v>11</v>
      </c>
      <c r="D11" t="s">
        <v>21</v>
      </c>
      <c r="E11" t="s">
        <v>23</v>
      </c>
      <c r="F11">
        <v>59714</v>
      </c>
      <c r="G11">
        <v>152241</v>
      </c>
      <c r="H11">
        <v>1695</v>
      </c>
      <c r="I11" t="s">
        <v>14</v>
      </c>
      <c r="J11" s="1">
        <v>45016</v>
      </c>
      <c r="K11" t="s">
        <v>1064</v>
      </c>
      <c r="L11">
        <v>8454</v>
      </c>
    </row>
    <row r="12" spans="1:14" x14ac:dyDescent="0.3">
      <c r="A12" t="s">
        <v>32</v>
      </c>
      <c r="B12" t="s">
        <v>1068</v>
      </c>
      <c r="C12" t="s">
        <v>16</v>
      </c>
      <c r="D12" t="s">
        <v>27</v>
      </c>
      <c r="E12" t="s">
        <v>13</v>
      </c>
      <c r="F12">
        <v>53172</v>
      </c>
      <c r="G12">
        <v>218331</v>
      </c>
      <c r="H12">
        <v>4738</v>
      </c>
      <c r="I12" t="s">
        <v>18</v>
      </c>
      <c r="J12" s="1">
        <v>43658</v>
      </c>
      <c r="K12" t="s">
        <v>1067</v>
      </c>
      <c r="L12">
        <v>17808</v>
      </c>
    </row>
    <row r="13" spans="1:14" x14ac:dyDescent="0.3">
      <c r="A13" t="s">
        <v>33</v>
      </c>
      <c r="B13" t="s">
        <v>1074</v>
      </c>
      <c r="C13" t="s">
        <v>11</v>
      </c>
      <c r="D13" t="s">
        <v>34</v>
      </c>
      <c r="E13" t="s">
        <v>25</v>
      </c>
      <c r="F13">
        <v>55838</v>
      </c>
      <c r="G13">
        <v>141439</v>
      </c>
      <c r="H13">
        <v>6875</v>
      </c>
      <c r="I13" t="s">
        <v>14</v>
      </c>
      <c r="J13" s="1">
        <v>43658</v>
      </c>
      <c r="K13" t="s">
        <v>1067</v>
      </c>
      <c r="L13">
        <v>15135</v>
      </c>
    </row>
    <row r="14" spans="1:14" x14ac:dyDescent="0.3">
      <c r="A14" t="s">
        <v>35</v>
      </c>
      <c r="B14" t="s">
        <v>1080</v>
      </c>
      <c r="C14" t="s">
        <v>20</v>
      </c>
      <c r="D14" t="s">
        <v>21</v>
      </c>
      <c r="E14" t="s">
        <v>25</v>
      </c>
      <c r="F14">
        <v>58418</v>
      </c>
      <c r="G14">
        <v>148770</v>
      </c>
      <c r="H14">
        <v>5927</v>
      </c>
      <c r="I14" t="s">
        <v>18</v>
      </c>
      <c r="J14" s="1">
        <v>44366</v>
      </c>
      <c r="K14" t="s">
        <v>1063</v>
      </c>
      <c r="L14">
        <v>14262</v>
      </c>
    </row>
    <row r="15" spans="1:14" x14ac:dyDescent="0.3">
      <c r="A15" t="s">
        <v>36</v>
      </c>
      <c r="B15" t="s">
        <v>1070</v>
      </c>
      <c r="C15" t="s">
        <v>16</v>
      </c>
      <c r="D15" t="s">
        <v>21</v>
      </c>
      <c r="E15" t="s">
        <v>25</v>
      </c>
      <c r="F15">
        <v>35057</v>
      </c>
      <c r="G15">
        <v>187047</v>
      </c>
      <c r="H15">
        <v>1689</v>
      </c>
      <c r="I15" t="s">
        <v>14</v>
      </c>
      <c r="J15" s="1">
        <v>45569</v>
      </c>
      <c r="K15" t="s">
        <v>1066</v>
      </c>
      <c r="L15">
        <v>2094</v>
      </c>
    </row>
    <row r="16" spans="1:14" x14ac:dyDescent="0.3">
      <c r="A16" t="s">
        <v>37</v>
      </c>
      <c r="B16" t="s">
        <v>1076</v>
      </c>
      <c r="C16" t="s">
        <v>11</v>
      </c>
      <c r="D16" t="s">
        <v>12</v>
      </c>
      <c r="E16" t="s">
        <v>25</v>
      </c>
      <c r="F16">
        <v>54801</v>
      </c>
      <c r="G16">
        <v>243633</v>
      </c>
      <c r="H16">
        <v>4574</v>
      </c>
      <c r="I16" t="s">
        <v>14</v>
      </c>
      <c r="J16" s="1">
        <v>44976</v>
      </c>
      <c r="K16" t="s">
        <v>1063</v>
      </c>
      <c r="L16">
        <v>19087</v>
      </c>
    </row>
    <row r="17" spans="1:12" x14ac:dyDescent="0.3">
      <c r="A17" t="s">
        <v>38</v>
      </c>
      <c r="B17" t="s">
        <v>1082</v>
      </c>
      <c r="C17" t="s">
        <v>20</v>
      </c>
      <c r="D17" t="s">
        <v>17</v>
      </c>
      <c r="E17" t="s">
        <v>23</v>
      </c>
      <c r="F17">
        <v>52651</v>
      </c>
      <c r="G17">
        <v>145483</v>
      </c>
      <c r="H17">
        <v>6972</v>
      </c>
      <c r="I17" t="s">
        <v>14</v>
      </c>
      <c r="J17" s="1">
        <v>43338</v>
      </c>
      <c r="K17" t="s">
        <v>1064</v>
      </c>
      <c r="L17">
        <v>17857</v>
      </c>
    </row>
    <row r="18" spans="1:12" x14ac:dyDescent="0.3">
      <c r="A18" t="s">
        <v>39</v>
      </c>
      <c r="B18" t="s">
        <v>1082</v>
      </c>
      <c r="C18" t="s">
        <v>20</v>
      </c>
      <c r="D18" t="s">
        <v>17</v>
      </c>
      <c r="E18" t="s">
        <v>13</v>
      </c>
      <c r="F18">
        <v>16851</v>
      </c>
      <c r="G18">
        <v>221087</v>
      </c>
      <c r="H18">
        <v>1521</v>
      </c>
      <c r="I18" t="s">
        <v>18</v>
      </c>
      <c r="J18" s="1">
        <v>43851</v>
      </c>
      <c r="K18" t="s">
        <v>1065</v>
      </c>
      <c r="L18">
        <v>1328</v>
      </c>
    </row>
    <row r="19" spans="1:12" x14ac:dyDescent="0.3">
      <c r="A19" t="s">
        <v>40</v>
      </c>
      <c r="B19" t="s">
        <v>1075</v>
      </c>
      <c r="C19" t="s">
        <v>11</v>
      </c>
      <c r="D19" t="s">
        <v>21</v>
      </c>
      <c r="E19" t="s">
        <v>25</v>
      </c>
      <c r="F19">
        <v>51111</v>
      </c>
      <c r="G19">
        <v>239870</v>
      </c>
      <c r="H19">
        <v>5102</v>
      </c>
      <c r="I19" t="s">
        <v>14</v>
      </c>
      <c r="J19" s="1">
        <v>43323</v>
      </c>
      <c r="K19" t="s">
        <v>1064</v>
      </c>
      <c r="L19">
        <v>2714</v>
      </c>
    </row>
    <row r="20" spans="1:12" x14ac:dyDescent="0.3">
      <c r="A20" t="s">
        <v>41</v>
      </c>
      <c r="B20" t="s">
        <v>1082</v>
      </c>
      <c r="C20" t="s">
        <v>20</v>
      </c>
      <c r="D20" t="s">
        <v>17</v>
      </c>
      <c r="E20" t="s">
        <v>13</v>
      </c>
      <c r="F20">
        <v>49088</v>
      </c>
      <c r="G20">
        <v>218423</v>
      </c>
      <c r="H20">
        <v>4401</v>
      </c>
      <c r="I20" t="s">
        <v>18</v>
      </c>
      <c r="J20" s="1">
        <v>43427</v>
      </c>
      <c r="K20" t="s">
        <v>1066</v>
      </c>
      <c r="L20">
        <v>10407</v>
      </c>
    </row>
    <row r="21" spans="1:12" x14ac:dyDescent="0.3">
      <c r="A21" t="s">
        <v>42</v>
      </c>
      <c r="B21" t="s">
        <v>1070</v>
      </c>
      <c r="C21" t="s">
        <v>16</v>
      </c>
      <c r="D21" t="s">
        <v>21</v>
      </c>
      <c r="E21" t="s">
        <v>23</v>
      </c>
      <c r="F21">
        <v>44701</v>
      </c>
      <c r="G21">
        <v>120711</v>
      </c>
      <c r="H21">
        <v>6572</v>
      </c>
      <c r="I21" t="s">
        <v>18</v>
      </c>
      <c r="J21" s="1">
        <v>45102</v>
      </c>
      <c r="K21" t="s">
        <v>1063</v>
      </c>
      <c r="L21">
        <v>3396</v>
      </c>
    </row>
    <row r="22" spans="1:12" x14ac:dyDescent="0.3">
      <c r="A22" t="s">
        <v>43</v>
      </c>
      <c r="B22" t="s">
        <v>1080</v>
      </c>
      <c r="C22" t="s">
        <v>20</v>
      </c>
      <c r="D22" t="s">
        <v>21</v>
      </c>
      <c r="E22" t="s">
        <v>13</v>
      </c>
      <c r="F22">
        <v>39654</v>
      </c>
      <c r="G22">
        <v>206097</v>
      </c>
      <c r="H22">
        <v>5311</v>
      </c>
      <c r="I22" t="s">
        <v>14</v>
      </c>
      <c r="J22" s="1">
        <v>44890</v>
      </c>
      <c r="K22" t="s">
        <v>1067</v>
      </c>
      <c r="L22">
        <v>6192</v>
      </c>
    </row>
    <row r="23" spans="1:12" x14ac:dyDescent="0.3">
      <c r="A23" t="s">
        <v>44</v>
      </c>
      <c r="B23" t="s">
        <v>1070</v>
      </c>
      <c r="C23" t="s">
        <v>16</v>
      </c>
      <c r="D23" t="s">
        <v>21</v>
      </c>
      <c r="E23" t="s">
        <v>25</v>
      </c>
      <c r="F23">
        <v>41781</v>
      </c>
      <c r="G23">
        <v>95555</v>
      </c>
      <c r="H23">
        <v>6880</v>
      </c>
      <c r="I23" t="s">
        <v>18</v>
      </c>
      <c r="J23" s="1">
        <v>43744</v>
      </c>
      <c r="K23" t="s">
        <v>1063</v>
      </c>
      <c r="L23">
        <v>7637</v>
      </c>
    </row>
    <row r="24" spans="1:12" x14ac:dyDescent="0.3">
      <c r="A24" t="s">
        <v>45</v>
      </c>
      <c r="B24" t="s">
        <v>1080</v>
      </c>
      <c r="C24" t="s">
        <v>20</v>
      </c>
      <c r="D24" t="s">
        <v>21</v>
      </c>
      <c r="E24" t="s">
        <v>13</v>
      </c>
      <c r="F24">
        <v>17439</v>
      </c>
      <c r="G24">
        <v>68790</v>
      </c>
      <c r="H24">
        <v>1730</v>
      </c>
      <c r="I24" t="s">
        <v>18</v>
      </c>
      <c r="J24" s="1">
        <v>44984</v>
      </c>
      <c r="K24" t="s">
        <v>1066</v>
      </c>
      <c r="L24">
        <v>13721</v>
      </c>
    </row>
    <row r="25" spans="1:12" x14ac:dyDescent="0.3">
      <c r="A25" t="s">
        <v>46</v>
      </c>
      <c r="B25" t="s">
        <v>1081</v>
      </c>
      <c r="C25" t="s">
        <v>20</v>
      </c>
      <c r="D25" t="s">
        <v>12</v>
      </c>
      <c r="E25" t="s">
        <v>23</v>
      </c>
      <c r="F25">
        <v>49129</v>
      </c>
      <c r="G25">
        <v>120456</v>
      </c>
      <c r="H25">
        <v>5886</v>
      </c>
      <c r="I25" t="s">
        <v>14</v>
      </c>
      <c r="J25" s="1">
        <v>45378</v>
      </c>
      <c r="K25" t="s">
        <v>1065</v>
      </c>
      <c r="L25">
        <v>18686</v>
      </c>
    </row>
    <row r="26" spans="1:12" x14ac:dyDescent="0.3">
      <c r="A26" t="s">
        <v>47</v>
      </c>
      <c r="B26" t="s">
        <v>1078</v>
      </c>
      <c r="C26" t="s">
        <v>20</v>
      </c>
      <c r="D26" t="s">
        <v>27</v>
      </c>
      <c r="E26" t="s">
        <v>13</v>
      </c>
      <c r="F26">
        <v>50340</v>
      </c>
      <c r="G26">
        <v>232672</v>
      </c>
      <c r="H26">
        <v>5807</v>
      </c>
      <c r="I26" t="s">
        <v>14</v>
      </c>
      <c r="J26" s="1">
        <v>43593</v>
      </c>
      <c r="K26" t="s">
        <v>1064</v>
      </c>
      <c r="L26">
        <v>13909</v>
      </c>
    </row>
    <row r="27" spans="1:12" x14ac:dyDescent="0.3">
      <c r="A27" t="s">
        <v>48</v>
      </c>
      <c r="B27" t="s">
        <v>1072</v>
      </c>
      <c r="C27" t="s">
        <v>16</v>
      </c>
      <c r="D27" t="s">
        <v>17</v>
      </c>
      <c r="E27" t="s">
        <v>23</v>
      </c>
      <c r="F27">
        <v>47653</v>
      </c>
      <c r="G27">
        <v>119450</v>
      </c>
      <c r="H27">
        <v>1696</v>
      </c>
      <c r="I27" t="s">
        <v>14</v>
      </c>
      <c r="J27" s="1">
        <v>43205</v>
      </c>
      <c r="K27" t="s">
        <v>1067</v>
      </c>
      <c r="L27">
        <v>5146</v>
      </c>
    </row>
    <row r="28" spans="1:12" x14ac:dyDescent="0.3">
      <c r="A28" t="s">
        <v>49</v>
      </c>
      <c r="B28" t="s">
        <v>1078</v>
      </c>
      <c r="C28" t="s">
        <v>20</v>
      </c>
      <c r="D28" t="s">
        <v>27</v>
      </c>
      <c r="E28" t="s">
        <v>13</v>
      </c>
      <c r="F28">
        <v>57986</v>
      </c>
      <c r="G28">
        <v>223703</v>
      </c>
      <c r="H28">
        <v>6132</v>
      </c>
      <c r="I28" t="s">
        <v>14</v>
      </c>
      <c r="J28" s="1">
        <v>44466</v>
      </c>
      <c r="K28" t="s">
        <v>1064</v>
      </c>
      <c r="L28">
        <v>4503</v>
      </c>
    </row>
    <row r="29" spans="1:12" x14ac:dyDescent="0.3">
      <c r="A29" t="s">
        <v>50</v>
      </c>
      <c r="B29" t="s">
        <v>1076</v>
      </c>
      <c r="C29" t="s">
        <v>11</v>
      </c>
      <c r="D29" t="s">
        <v>12</v>
      </c>
      <c r="E29" t="s">
        <v>23</v>
      </c>
      <c r="F29">
        <v>41256</v>
      </c>
      <c r="G29">
        <v>219026</v>
      </c>
      <c r="H29">
        <v>5510</v>
      </c>
      <c r="I29" t="s">
        <v>14</v>
      </c>
      <c r="J29" s="1">
        <v>44354</v>
      </c>
      <c r="K29" t="s">
        <v>1065</v>
      </c>
      <c r="L29">
        <v>1203</v>
      </c>
    </row>
    <row r="30" spans="1:12" x14ac:dyDescent="0.3">
      <c r="A30" t="s">
        <v>51</v>
      </c>
      <c r="B30" t="s">
        <v>1076</v>
      </c>
      <c r="C30" t="s">
        <v>11</v>
      </c>
      <c r="D30" t="s">
        <v>12</v>
      </c>
      <c r="E30" t="s">
        <v>23</v>
      </c>
      <c r="F30">
        <v>52431</v>
      </c>
      <c r="G30">
        <v>231902</v>
      </c>
      <c r="H30">
        <v>5752</v>
      </c>
      <c r="I30" t="s">
        <v>18</v>
      </c>
      <c r="J30" s="1">
        <v>44702</v>
      </c>
      <c r="K30" t="s">
        <v>1065</v>
      </c>
      <c r="L30">
        <v>7613</v>
      </c>
    </row>
    <row r="31" spans="1:12" x14ac:dyDescent="0.3">
      <c r="A31" t="s">
        <v>52</v>
      </c>
      <c r="B31" t="s">
        <v>1070</v>
      </c>
      <c r="C31" t="s">
        <v>16</v>
      </c>
      <c r="D31" t="s">
        <v>21</v>
      </c>
      <c r="E31" t="s">
        <v>13</v>
      </c>
      <c r="F31">
        <v>56271</v>
      </c>
      <c r="G31">
        <v>124227</v>
      </c>
      <c r="H31">
        <v>6571</v>
      </c>
      <c r="I31" t="s">
        <v>14</v>
      </c>
      <c r="J31" s="1">
        <v>44746</v>
      </c>
      <c r="K31" t="s">
        <v>1064</v>
      </c>
      <c r="L31">
        <v>19433</v>
      </c>
    </row>
    <row r="32" spans="1:12" x14ac:dyDescent="0.3">
      <c r="A32" t="s">
        <v>53</v>
      </c>
      <c r="B32" t="s">
        <v>1070</v>
      </c>
      <c r="C32" t="s">
        <v>16</v>
      </c>
      <c r="D32" t="s">
        <v>21</v>
      </c>
      <c r="E32" t="s">
        <v>13</v>
      </c>
      <c r="F32">
        <v>27121</v>
      </c>
      <c r="G32">
        <v>172572</v>
      </c>
      <c r="H32">
        <v>2298</v>
      </c>
      <c r="I32" t="s">
        <v>14</v>
      </c>
      <c r="J32" s="1">
        <v>43427</v>
      </c>
      <c r="K32" t="s">
        <v>1066</v>
      </c>
      <c r="L32">
        <v>17318</v>
      </c>
    </row>
    <row r="33" spans="1:12" x14ac:dyDescent="0.3">
      <c r="A33" t="s">
        <v>54</v>
      </c>
      <c r="B33" t="s">
        <v>1079</v>
      </c>
      <c r="C33" t="s">
        <v>20</v>
      </c>
      <c r="D33" t="s">
        <v>34</v>
      </c>
      <c r="E33" t="s">
        <v>25</v>
      </c>
      <c r="F33">
        <v>23889</v>
      </c>
      <c r="G33">
        <v>184052</v>
      </c>
      <c r="H33">
        <v>5269</v>
      </c>
      <c r="I33" t="s">
        <v>18</v>
      </c>
      <c r="J33" s="1">
        <v>45139</v>
      </c>
      <c r="K33" t="s">
        <v>1065</v>
      </c>
      <c r="L33">
        <v>6604</v>
      </c>
    </row>
    <row r="34" spans="1:12" x14ac:dyDescent="0.3">
      <c r="A34" t="s">
        <v>55</v>
      </c>
      <c r="B34" t="s">
        <v>1076</v>
      </c>
      <c r="C34" t="s">
        <v>11</v>
      </c>
      <c r="D34" t="s">
        <v>12</v>
      </c>
      <c r="E34" t="s">
        <v>13</v>
      </c>
      <c r="F34">
        <v>38444</v>
      </c>
      <c r="G34">
        <v>234499</v>
      </c>
      <c r="H34">
        <v>5970</v>
      </c>
      <c r="I34" t="s">
        <v>18</v>
      </c>
      <c r="J34" s="1">
        <v>44174</v>
      </c>
      <c r="K34" t="s">
        <v>1064</v>
      </c>
      <c r="L34">
        <v>16540</v>
      </c>
    </row>
    <row r="35" spans="1:12" x14ac:dyDescent="0.3">
      <c r="A35" t="s">
        <v>56</v>
      </c>
      <c r="B35" t="s">
        <v>1072</v>
      </c>
      <c r="C35" t="s">
        <v>16</v>
      </c>
      <c r="D35" t="s">
        <v>17</v>
      </c>
      <c r="E35" t="s">
        <v>13</v>
      </c>
      <c r="F35">
        <v>20198</v>
      </c>
      <c r="G35">
        <v>165919</v>
      </c>
      <c r="H35">
        <v>3545</v>
      </c>
      <c r="I35" t="s">
        <v>14</v>
      </c>
      <c r="J35" s="1">
        <v>44080</v>
      </c>
      <c r="K35" t="s">
        <v>1063</v>
      </c>
      <c r="L35">
        <v>14820</v>
      </c>
    </row>
    <row r="36" spans="1:12" x14ac:dyDescent="0.3">
      <c r="A36" t="s">
        <v>57</v>
      </c>
      <c r="B36" t="s">
        <v>1068</v>
      </c>
      <c r="C36" t="s">
        <v>16</v>
      </c>
      <c r="D36" t="s">
        <v>27</v>
      </c>
      <c r="E36" t="s">
        <v>13</v>
      </c>
      <c r="F36">
        <v>28192</v>
      </c>
      <c r="G36">
        <v>106272</v>
      </c>
      <c r="H36">
        <v>1982</v>
      </c>
      <c r="I36" t="s">
        <v>14</v>
      </c>
      <c r="J36" s="1">
        <v>43429</v>
      </c>
      <c r="K36" t="s">
        <v>1063</v>
      </c>
      <c r="L36">
        <v>1392</v>
      </c>
    </row>
    <row r="37" spans="1:12" x14ac:dyDescent="0.3">
      <c r="A37" t="s">
        <v>58</v>
      </c>
      <c r="B37" t="s">
        <v>1079</v>
      </c>
      <c r="C37" t="s">
        <v>20</v>
      </c>
      <c r="D37" t="s">
        <v>34</v>
      </c>
      <c r="E37" t="s">
        <v>23</v>
      </c>
      <c r="F37">
        <v>44925</v>
      </c>
      <c r="G37">
        <v>148868</v>
      </c>
      <c r="H37">
        <v>6346</v>
      </c>
      <c r="I37" t="s">
        <v>18</v>
      </c>
      <c r="J37" s="1">
        <v>45234</v>
      </c>
      <c r="K37" t="s">
        <v>1064</v>
      </c>
      <c r="L37">
        <v>19129</v>
      </c>
    </row>
    <row r="38" spans="1:12" x14ac:dyDescent="0.3">
      <c r="A38" t="s">
        <v>59</v>
      </c>
      <c r="B38" t="s">
        <v>1073</v>
      </c>
      <c r="C38" t="s">
        <v>11</v>
      </c>
      <c r="D38" t="s">
        <v>27</v>
      </c>
      <c r="E38" t="s">
        <v>25</v>
      </c>
      <c r="F38">
        <v>26081</v>
      </c>
      <c r="G38">
        <v>145414</v>
      </c>
      <c r="H38">
        <v>1656</v>
      </c>
      <c r="I38" t="s">
        <v>18</v>
      </c>
      <c r="J38" s="1">
        <v>44625</v>
      </c>
      <c r="K38" t="s">
        <v>1066</v>
      </c>
      <c r="L38">
        <v>15182</v>
      </c>
    </row>
    <row r="39" spans="1:12" x14ac:dyDescent="0.3">
      <c r="A39" t="s">
        <v>60</v>
      </c>
      <c r="B39" t="s">
        <v>1075</v>
      </c>
      <c r="C39" t="s">
        <v>11</v>
      </c>
      <c r="D39" t="s">
        <v>21</v>
      </c>
      <c r="E39" t="s">
        <v>13</v>
      </c>
      <c r="F39">
        <v>23943</v>
      </c>
      <c r="G39">
        <v>107184</v>
      </c>
      <c r="H39">
        <v>3864</v>
      </c>
      <c r="I39" t="s">
        <v>18</v>
      </c>
      <c r="J39" s="1">
        <v>44692</v>
      </c>
      <c r="K39" t="s">
        <v>1067</v>
      </c>
      <c r="L39">
        <v>14658</v>
      </c>
    </row>
    <row r="40" spans="1:12" x14ac:dyDescent="0.3">
      <c r="A40" t="s">
        <v>61</v>
      </c>
      <c r="B40" t="s">
        <v>1070</v>
      </c>
      <c r="C40" t="s">
        <v>16</v>
      </c>
      <c r="D40" t="s">
        <v>21</v>
      </c>
      <c r="E40" t="s">
        <v>25</v>
      </c>
      <c r="F40">
        <v>59078</v>
      </c>
      <c r="G40">
        <v>169180</v>
      </c>
      <c r="H40">
        <v>4104</v>
      </c>
      <c r="I40" t="s">
        <v>18</v>
      </c>
      <c r="J40" s="1">
        <v>44375</v>
      </c>
      <c r="K40" t="s">
        <v>1064</v>
      </c>
      <c r="L40">
        <v>13845</v>
      </c>
    </row>
    <row r="41" spans="1:12" x14ac:dyDescent="0.3">
      <c r="A41" t="s">
        <v>62</v>
      </c>
      <c r="B41" t="s">
        <v>1080</v>
      </c>
      <c r="C41" t="s">
        <v>20</v>
      </c>
      <c r="D41" t="s">
        <v>21</v>
      </c>
      <c r="E41" t="s">
        <v>25</v>
      </c>
      <c r="F41">
        <v>26302</v>
      </c>
      <c r="G41">
        <v>104237</v>
      </c>
      <c r="H41">
        <v>1609</v>
      </c>
      <c r="I41" t="s">
        <v>14</v>
      </c>
      <c r="J41" s="1">
        <v>44034</v>
      </c>
      <c r="K41" t="s">
        <v>1064</v>
      </c>
      <c r="L41">
        <v>17874</v>
      </c>
    </row>
    <row r="42" spans="1:12" x14ac:dyDescent="0.3">
      <c r="A42" t="s">
        <v>63</v>
      </c>
      <c r="B42" t="s">
        <v>1078</v>
      </c>
      <c r="C42" t="s">
        <v>20</v>
      </c>
      <c r="D42" t="s">
        <v>27</v>
      </c>
      <c r="E42" t="s">
        <v>23</v>
      </c>
      <c r="F42">
        <v>25663</v>
      </c>
      <c r="G42">
        <v>166523</v>
      </c>
      <c r="H42">
        <v>2841</v>
      </c>
      <c r="I42" t="s">
        <v>14</v>
      </c>
      <c r="J42" s="1">
        <v>44492</v>
      </c>
      <c r="K42" t="s">
        <v>1066</v>
      </c>
      <c r="L42">
        <v>18880</v>
      </c>
    </row>
    <row r="43" spans="1:12" x14ac:dyDescent="0.3">
      <c r="A43" t="s">
        <v>64</v>
      </c>
      <c r="B43" t="s">
        <v>1075</v>
      </c>
      <c r="C43" t="s">
        <v>11</v>
      </c>
      <c r="D43" t="s">
        <v>21</v>
      </c>
      <c r="E43" t="s">
        <v>13</v>
      </c>
      <c r="F43">
        <v>46207</v>
      </c>
      <c r="G43">
        <v>217326</v>
      </c>
      <c r="H43">
        <v>2927</v>
      </c>
      <c r="I43" t="s">
        <v>14</v>
      </c>
      <c r="J43" s="1">
        <v>43237</v>
      </c>
      <c r="K43" t="s">
        <v>1066</v>
      </c>
      <c r="L43">
        <v>2941</v>
      </c>
    </row>
    <row r="44" spans="1:12" x14ac:dyDescent="0.3">
      <c r="A44" t="s">
        <v>65</v>
      </c>
      <c r="B44" t="s">
        <v>1072</v>
      </c>
      <c r="C44" t="s">
        <v>16</v>
      </c>
      <c r="D44" t="s">
        <v>17</v>
      </c>
      <c r="E44" t="s">
        <v>13</v>
      </c>
      <c r="F44">
        <v>15075</v>
      </c>
      <c r="G44">
        <v>66031</v>
      </c>
      <c r="H44">
        <v>4069</v>
      </c>
      <c r="I44" t="s">
        <v>14</v>
      </c>
      <c r="J44" s="1">
        <v>44624</v>
      </c>
      <c r="K44" t="s">
        <v>1067</v>
      </c>
      <c r="L44">
        <v>5614</v>
      </c>
    </row>
    <row r="45" spans="1:12" x14ac:dyDescent="0.3">
      <c r="A45" t="s">
        <v>66</v>
      </c>
      <c r="B45" t="s">
        <v>1077</v>
      </c>
      <c r="C45" t="s">
        <v>11</v>
      </c>
      <c r="D45" t="s">
        <v>17</v>
      </c>
      <c r="E45" t="s">
        <v>23</v>
      </c>
      <c r="F45">
        <v>24398</v>
      </c>
      <c r="G45">
        <v>79990</v>
      </c>
      <c r="H45">
        <v>6304</v>
      </c>
      <c r="I45" t="s">
        <v>14</v>
      </c>
      <c r="J45" s="1">
        <v>45497</v>
      </c>
      <c r="K45" t="s">
        <v>1064</v>
      </c>
      <c r="L45">
        <v>4055</v>
      </c>
    </row>
    <row r="46" spans="1:12" x14ac:dyDescent="0.3">
      <c r="A46" t="s">
        <v>67</v>
      </c>
      <c r="B46" t="s">
        <v>1076</v>
      </c>
      <c r="C46" t="s">
        <v>11</v>
      </c>
      <c r="D46" t="s">
        <v>12</v>
      </c>
      <c r="E46" t="s">
        <v>25</v>
      </c>
      <c r="F46">
        <v>17920</v>
      </c>
      <c r="G46">
        <v>132294</v>
      </c>
      <c r="H46">
        <v>2348</v>
      </c>
      <c r="I46" t="s">
        <v>18</v>
      </c>
      <c r="J46" s="1">
        <v>43223</v>
      </c>
      <c r="K46" t="s">
        <v>1063</v>
      </c>
      <c r="L46">
        <v>16893</v>
      </c>
    </row>
    <row r="47" spans="1:12" x14ac:dyDescent="0.3">
      <c r="A47" t="s">
        <v>68</v>
      </c>
      <c r="B47" t="s">
        <v>1072</v>
      </c>
      <c r="C47" t="s">
        <v>16</v>
      </c>
      <c r="D47" t="s">
        <v>17</v>
      </c>
      <c r="E47" t="s">
        <v>23</v>
      </c>
      <c r="F47">
        <v>46655</v>
      </c>
      <c r="G47">
        <v>94984</v>
      </c>
      <c r="H47">
        <v>2524</v>
      </c>
      <c r="I47" t="s">
        <v>14</v>
      </c>
      <c r="J47" s="1">
        <v>43785</v>
      </c>
      <c r="K47" t="s">
        <v>1065</v>
      </c>
      <c r="L47">
        <v>8174</v>
      </c>
    </row>
    <row r="48" spans="1:12" x14ac:dyDescent="0.3">
      <c r="A48" t="s">
        <v>69</v>
      </c>
      <c r="B48" t="s">
        <v>1074</v>
      </c>
      <c r="C48" t="s">
        <v>11</v>
      </c>
      <c r="D48" t="s">
        <v>34</v>
      </c>
      <c r="E48" t="s">
        <v>13</v>
      </c>
      <c r="F48">
        <v>53151</v>
      </c>
      <c r="G48">
        <v>175755</v>
      </c>
      <c r="H48">
        <v>6348</v>
      </c>
      <c r="I48" t="s">
        <v>18</v>
      </c>
      <c r="J48" s="1">
        <v>43116</v>
      </c>
      <c r="K48" t="s">
        <v>1064</v>
      </c>
      <c r="L48">
        <v>4806</v>
      </c>
    </row>
    <row r="49" spans="1:12" x14ac:dyDescent="0.3">
      <c r="A49" t="s">
        <v>70</v>
      </c>
      <c r="B49" t="s">
        <v>1082</v>
      </c>
      <c r="C49" t="s">
        <v>20</v>
      </c>
      <c r="D49" t="s">
        <v>17</v>
      </c>
      <c r="E49" t="s">
        <v>23</v>
      </c>
      <c r="F49">
        <v>15470</v>
      </c>
      <c r="G49">
        <v>102347</v>
      </c>
      <c r="H49">
        <v>1545</v>
      </c>
      <c r="I49" t="s">
        <v>18</v>
      </c>
      <c r="J49" s="1">
        <v>43116</v>
      </c>
      <c r="K49" t="s">
        <v>1066</v>
      </c>
      <c r="L49">
        <v>10436</v>
      </c>
    </row>
    <row r="50" spans="1:12" x14ac:dyDescent="0.3">
      <c r="A50" t="s">
        <v>71</v>
      </c>
      <c r="B50" t="s">
        <v>1078</v>
      </c>
      <c r="C50" t="s">
        <v>20</v>
      </c>
      <c r="D50" t="s">
        <v>27</v>
      </c>
      <c r="E50" t="s">
        <v>13</v>
      </c>
      <c r="F50">
        <v>50049</v>
      </c>
      <c r="G50">
        <v>70123</v>
      </c>
      <c r="H50">
        <v>5233</v>
      </c>
      <c r="I50" t="s">
        <v>18</v>
      </c>
      <c r="J50" s="1">
        <v>45374</v>
      </c>
      <c r="K50" t="s">
        <v>1066</v>
      </c>
      <c r="L50">
        <v>10749</v>
      </c>
    </row>
    <row r="51" spans="1:12" x14ac:dyDescent="0.3">
      <c r="A51" t="s">
        <v>72</v>
      </c>
      <c r="B51" t="s">
        <v>1078</v>
      </c>
      <c r="C51" t="s">
        <v>20</v>
      </c>
      <c r="D51" t="s">
        <v>27</v>
      </c>
      <c r="E51" t="s">
        <v>25</v>
      </c>
      <c r="F51">
        <v>21847</v>
      </c>
      <c r="G51">
        <v>242548</v>
      </c>
      <c r="H51">
        <v>2975</v>
      </c>
      <c r="I51" t="s">
        <v>18</v>
      </c>
      <c r="J51" s="1">
        <v>43841</v>
      </c>
      <c r="K51" t="s">
        <v>1066</v>
      </c>
      <c r="L51">
        <v>8490</v>
      </c>
    </row>
    <row r="52" spans="1:12" x14ac:dyDescent="0.3">
      <c r="A52" t="s">
        <v>73</v>
      </c>
      <c r="B52" t="s">
        <v>1078</v>
      </c>
      <c r="C52" t="s">
        <v>20</v>
      </c>
      <c r="D52" t="s">
        <v>27</v>
      </c>
      <c r="E52" t="s">
        <v>25</v>
      </c>
      <c r="F52">
        <v>58514</v>
      </c>
      <c r="G52">
        <v>90256</v>
      </c>
      <c r="H52">
        <v>2280</v>
      </c>
      <c r="I52" t="s">
        <v>18</v>
      </c>
      <c r="J52" s="1">
        <v>43239</v>
      </c>
      <c r="K52" t="s">
        <v>1063</v>
      </c>
      <c r="L52">
        <v>1966</v>
      </c>
    </row>
    <row r="53" spans="1:12" x14ac:dyDescent="0.3">
      <c r="A53" t="s">
        <v>74</v>
      </c>
      <c r="B53" t="s">
        <v>1074</v>
      </c>
      <c r="C53" t="s">
        <v>11</v>
      </c>
      <c r="D53" t="s">
        <v>34</v>
      </c>
      <c r="E53" t="s">
        <v>25</v>
      </c>
      <c r="F53">
        <v>21948</v>
      </c>
      <c r="G53">
        <v>101731</v>
      </c>
      <c r="H53">
        <v>6411</v>
      </c>
      <c r="I53" t="s">
        <v>14</v>
      </c>
      <c r="J53" s="1">
        <v>43203</v>
      </c>
      <c r="K53" t="s">
        <v>1063</v>
      </c>
      <c r="L53">
        <v>4130</v>
      </c>
    </row>
    <row r="54" spans="1:12" x14ac:dyDescent="0.3">
      <c r="A54" t="s">
        <v>75</v>
      </c>
      <c r="B54" t="s">
        <v>1077</v>
      </c>
      <c r="C54" t="s">
        <v>11</v>
      </c>
      <c r="D54" t="s">
        <v>17</v>
      </c>
      <c r="E54" t="s">
        <v>23</v>
      </c>
      <c r="F54">
        <v>42890</v>
      </c>
      <c r="G54">
        <v>185700</v>
      </c>
      <c r="H54">
        <v>5445</v>
      </c>
      <c r="I54" t="s">
        <v>18</v>
      </c>
      <c r="J54" s="1">
        <v>44973</v>
      </c>
      <c r="K54" t="s">
        <v>1065</v>
      </c>
      <c r="L54">
        <v>14810</v>
      </c>
    </row>
    <row r="55" spans="1:12" x14ac:dyDescent="0.3">
      <c r="A55" t="s">
        <v>76</v>
      </c>
      <c r="B55" t="s">
        <v>1082</v>
      </c>
      <c r="C55" t="s">
        <v>20</v>
      </c>
      <c r="D55" t="s">
        <v>17</v>
      </c>
      <c r="E55" t="s">
        <v>23</v>
      </c>
      <c r="F55">
        <v>49612</v>
      </c>
      <c r="G55">
        <v>158438</v>
      </c>
      <c r="H55">
        <v>2934</v>
      </c>
      <c r="I55" t="s">
        <v>18</v>
      </c>
      <c r="J55" s="1">
        <v>45307</v>
      </c>
      <c r="K55" t="s">
        <v>1067</v>
      </c>
      <c r="L55">
        <v>13075</v>
      </c>
    </row>
    <row r="56" spans="1:12" x14ac:dyDescent="0.3">
      <c r="A56" t="s">
        <v>77</v>
      </c>
      <c r="B56" t="s">
        <v>1078</v>
      </c>
      <c r="C56" t="s">
        <v>20</v>
      </c>
      <c r="D56" t="s">
        <v>27</v>
      </c>
      <c r="E56" t="s">
        <v>13</v>
      </c>
      <c r="F56">
        <v>22428</v>
      </c>
      <c r="G56">
        <v>227505</v>
      </c>
      <c r="H56">
        <v>1730</v>
      </c>
      <c r="I56" t="s">
        <v>14</v>
      </c>
      <c r="J56" s="1">
        <v>44200</v>
      </c>
      <c r="K56" t="s">
        <v>1063</v>
      </c>
      <c r="L56">
        <v>14311</v>
      </c>
    </row>
    <row r="57" spans="1:12" x14ac:dyDescent="0.3">
      <c r="A57" t="s">
        <v>78</v>
      </c>
      <c r="B57" t="s">
        <v>1078</v>
      </c>
      <c r="C57" t="s">
        <v>20</v>
      </c>
      <c r="D57" t="s">
        <v>27</v>
      </c>
      <c r="E57" t="s">
        <v>23</v>
      </c>
      <c r="F57">
        <v>42912</v>
      </c>
      <c r="G57">
        <v>172346</v>
      </c>
      <c r="H57">
        <v>5663</v>
      </c>
      <c r="I57" t="s">
        <v>18</v>
      </c>
      <c r="J57" s="1">
        <v>43255</v>
      </c>
      <c r="K57" t="s">
        <v>1063</v>
      </c>
      <c r="L57">
        <v>13587</v>
      </c>
    </row>
    <row r="58" spans="1:12" x14ac:dyDescent="0.3">
      <c r="A58" t="s">
        <v>79</v>
      </c>
      <c r="B58" t="s">
        <v>1079</v>
      </c>
      <c r="C58" t="s">
        <v>20</v>
      </c>
      <c r="D58" t="s">
        <v>34</v>
      </c>
      <c r="E58" t="s">
        <v>25</v>
      </c>
      <c r="F58">
        <v>32171</v>
      </c>
      <c r="G58">
        <v>90633</v>
      </c>
      <c r="H58">
        <v>4973</v>
      </c>
      <c r="I58" t="s">
        <v>14</v>
      </c>
      <c r="J58" s="1">
        <v>44930</v>
      </c>
      <c r="K58" t="s">
        <v>1063</v>
      </c>
      <c r="L58">
        <v>7887</v>
      </c>
    </row>
    <row r="59" spans="1:12" x14ac:dyDescent="0.3">
      <c r="A59" t="s">
        <v>80</v>
      </c>
      <c r="B59" t="s">
        <v>1081</v>
      </c>
      <c r="C59" t="s">
        <v>20</v>
      </c>
      <c r="D59" t="s">
        <v>12</v>
      </c>
      <c r="E59" t="s">
        <v>23</v>
      </c>
      <c r="F59">
        <v>20975</v>
      </c>
      <c r="G59">
        <v>143356</v>
      </c>
      <c r="H59">
        <v>6756</v>
      </c>
      <c r="I59" t="s">
        <v>14</v>
      </c>
      <c r="J59" s="1">
        <v>44355</v>
      </c>
      <c r="K59" t="s">
        <v>1063</v>
      </c>
      <c r="L59">
        <v>16227</v>
      </c>
    </row>
    <row r="60" spans="1:12" x14ac:dyDescent="0.3">
      <c r="A60" t="s">
        <v>81</v>
      </c>
      <c r="B60" t="s">
        <v>1079</v>
      </c>
      <c r="C60" t="s">
        <v>20</v>
      </c>
      <c r="D60" t="s">
        <v>34</v>
      </c>
      <c r="E60" t="s">
        <v>25</v>
      </c>
      <c r="F60">
        <v>34918</v>
      </c>
      <c r="G60">
        <v>129346</v>
      </c>
      <c r="H60">
        <v>3557</v>
      </c>
      <c r="I60" t="s">
        <v>14</v>
      </c>
      <c r="J60" s="1">
        <v>43990</v>
      </c>
      <c r="K60" t="s">
        <v>1063</v>
      </c>
      <c r="L60">
        <v>18281</v>
      </c>
    </row>
    <row r="61" spans="1:12" x14ac:dyDescent="0.3">
      <c r="A61" t="s">
        <v>82</v>
      </c>
      <c r="B61" t="s">
        <v>1072</v>
      </c>
      <c r="C61" t="s">
        <v>16</v>
      </c>
      <c r="D61" t="s">
        <v>17</v>
      </c>
      <c r="E61" t="s">
        <v>13</v>
      </c>
      <c r="F61">
        <v>31484</v>
      </c>
      <c r="G61">
        <v>194881</v>
      </c>
      <c r="H61">
        <v>4059</v>
      </c>
      <c r="I61" t="s">
        <v>18</v>
      </c>
      <c r="J61" s="1">
        <v>43551</v>
      </c>
      <c r="K61" t="s">
        <v>1067</v>
      </c>
      <c r="L61">
        <v>13926</v>
      </c>
    </row>
    <row r="62" spans="1:12" x14ac:dyDescent="0.3">
      <c r="A62" t="s">
        <v>83</v>
      </c>
      <c r="B62" t="s">
        <v>1077</v>
      </c>
      <c r="C62" t="s">
        <v>11</v>
      </c>
      <c r="D62" t="s">
        <v>17</v>
      </c>
      <c r="E62" t="s">
        <v>23</v>
      </c>
      <c r="F62">
        <v>45853</v>
      </c>
      <c r="G62">
        <v>247216</v>
      </c>
      <c r="H62">
        <v>6203</v>
      </c>
      <c r="I62" t="s">
        <v>18</v>
      </c>
      <c r="J62" s="1">
        <v>43700</v>
      </c>
      <c r="K62" t="s">
        <v>1065</v>
      </c>
      <c r="L62">
        <v>1804</v>
      </c>
    </row>
    <row r="63" spans="1:12" x14ac:dyDescent="0.3">
      <c r="A63" t="s">
        <v>84</v>
      </c>
      <c r="B63" t="s">
        <v>1069</v>
      </c>
      <c r="C63" t="s">
        <v>16</v>
      </c>
      <c r="D63" t="s">
        <v>34</v>
      </c>
      <c r="E63" t="s">
        <v>25</v>
      </c>
      <c r="F63">
        <v>54262</v>
      </c>
      <c r="G63">
        <v>72869</v>
      </c>
      <c r="H63">
        <v>3515</v>
      </c>
      <c r="I63" t="s">
        <v>18</v>
      </c>
      <c r="J63" s="1">
        <v>43893</v>
      </c>
      <c r="K63" t="s">
        <v>1066</v>
      </c>
      <c r="L63">
        <v>9142</v>
      </c>
    </row>
    <row r="64" spans="1:12" x14ac:dyDescent="0.3">
      <c r="A64" t="s">
        <v>85</v>
      </c>
      <c r="B64" t="s">
        <v>1081</v>
      </c>
      <c r="C64" t="s">
        <v>20</v>
      </c>
      <c r="D64" t="s">
        <v>12</v>
      </c>
      <c r="E64" t="s">
        <v>25</v>
      </c>
      <c r="F64">
        <v>18968</v>
      </c>
      <c r="G64">
        <v>141801</v>
      </c>
      <c r="H64">
        <v>5487</v>
      </c>
      <c r="I64" t="s">
        <v>18</v>
      </c>
      <c r="J64" s="1">
        <v>43293</v>
      </c>
      <c r="K64" t="s">
        <v>1065</v>
      </c>
      <c r="L64">
        <v>8075</v>
      </c>
    </row>
    <row r="65" spans="1:12" x14ac:dyDescent="0.3">
      <c r="A65" t="s">
        <v>86</v>
      </c>
      <c r="B65" t="s">
        <v>1076</v>
      </c>
      <c r="C65" t="s">
        <v>11</v>
      </c>
      <c r="D65" t="s">
        <v>12</v>
      </c>
      <c r="E65" t="s">
        <v>25</v>
      </c>
      <c r="F65">
        <v>53403</v>
      </c>
      <c r="G65">
        <v>78961</v>
      </c>
      <c r="H65">
        <v>2790</v>
      </c>
      <c r="I65" t="s">
        <v>14</v>
      </c>
      <c r="J65" s="1">
        <v>44160</v>
      </c>
      <c r="K65" t="s">
        <v>1063</v>
      </c>
      <c r="L65">
        <v>15873</v>
      </c>
    </row>
    <row r="66" spans="1:12" x14ac:dyDescent="0.3">
      <c r="A66" t="s">
        <v>87</v>
      </c>
      <c r="B66" t="s">
        <v>1081</v>
      </c>
      <c r="C66" t="s">
        <v>20</v>
      </c>
      <c r="D66" t="s">
        <v>12</v>
      </c>
      <c r="E66" t="s">
        <v>25</v>
      </c>
      <c r="F66">
        <v>55269</v>
      </c>
      <c r="G66">
        <v>226284</v>
      </c>
      <c r="H66">
        <v>6283</v>
      </c>
      <c r="I66" t="s">
        <v>14</v>
      </c>
      <c r="J66" s="1">
        <v>43934</v>
      </c>
      <c r="K66" t="s">
        <v>1066</v>
      </c>
      <c r="L66">
        <v>14952</v>
      </c>
    </row>
    <row r="67" spans="1:12" x14ac:dyDescent="0.3">
      <c r="A67" t="s">
        <v>88</v>
      </c>
      <c r="B67" t="s">
        <v>1079</v>
      </c>
      <c r="C67" t="s">
        <v>20</v>
      </c>
      <c r="D67" t="s">
        <v>34</v>
      </c>
      <c r="E67" t="s">
        <v>25</v>
      </c>
      <c r="F67">
        <v>31151</v>
      </c>
      <c r="G67">
        <v>88703</v>
      </c>
      <c r="H67">
        <v>2275</v>
      </c>
      <c r="I67" t="s">
        <v>14</v>
      </c>
      <c r="J67" s="1">
        <v>43559</v>
      </c>
      <c r="K67" t="s">
        <v>1067</v>
      </c>
      <c r="L67">
        <v>10456</v>
      </c>
    </row>
    <row r="68" spans="1:12" x14ac:dyDescent="0.3">
      <c r="A68" t="s">
        <v>89</v>
      </c>
      <c r="B68" t="s">
        <v>1073</v>
      </c>
      <c r="C68" t="s">
        <v>11</v>
      </c>
      <c r="D68" t="s">
        <v>27</v>
      </c>
      <c r="E68" t="s">
        <v>13</v>
      </c>
      <c r="F68">
        <v>59913</v>
      </c>
      <c r="G68">
        <v>241301</v>
      </c>
      <c r="H68">
        <v>3157</v>
      </c>
      <c r="I68" t="s">
        <v>18</v>
      </c>
      <c r="J68" s="1">
        <v>44959</v>
      </c>
      <c r="K68" t="s">
        <v>1064</v>
      </c>
      <c r="L68">
        <v>14570</v>
      </c>
    </row>
    <row r="69" spans="1:12" x14ac:dyDescent="0.3">
      <c r="A69" t="s">
        <v>90</v>
      </c>
      <c r="B69" t="s">
        <v>1081</v>
      </c>
      <c r="C69" t="s">
        <v>20</v>
      </c>
      <c r="D69" t="s">
        <v>12</v>
      </c>
      <c r="E69" t="s">
        <v>23</v>
      </c>
      <c r="F69">
        <v>44417</v>
      </c>
      <c r="G69">
        <v>166472</v>
      </c>
      <c r="H69">
        <v>4409</v>
      </c>
      <c r="I69" t="s">
        <v>14</v>
      </c>
      <c r="J69" s="1">
        <v>44146</v>
      </c>
      <c r="K69" t="s">
        <v>1067</v>
      </c>
      <c r="L69">
        <v>5879</v>
      </c>
    </row>
    <row r="70" spans="1:12" x14ac:dyDescent="0.3">
      <c r="A70" t="s">
        <v>91</v>
      </c>
      <c r="B70" t="s">
        <v>1071</v>
      </c>
      <c r="C70" t="s">
        <v>16</v>
      </c>
      <c r="D70" t="s">
        <v>12</v>
      </c>
      <c r="E70" t="s">
        <v>23</v>
      </c>
      <c r="F70">
        <v>35438</v>
      </c>
      <c r="G70">
        <v>162327</v>
      </c>
      <c r="H70">
        <v>3285</v>
      </c>
      <c r="I70" t="s">
        <v>18</v>
      </c>
      <c r="J70" s="1">
        <v>43868</v>
      </c>
      <c r="K70" t="s">
        <v>1064</v>
      </c>
      <c r="L70">
        <v>15760</v>
      </c>
    </row>
    <row r="71" spans="1:12" x14ac:dyDescent="0.3">
      <c r="A71" t="s">
        <v>92</v>
      </c>
      <c r="B71" t="s">
        <v>1081</v>
      </c>
      <c r="C71" t="s">
        <v>20</v>
      </c>
      <c r="D71" t="s">
        <v>12</v>
      </c>
      <c r="E71" t="s">
        <v>23</v>
      </c>
      <c r="F71">
        <v>48537</v>
      </c>
      <c r="G71">
        <v>240213</v>
      </c>
      <c r="H71">
        <v>6851</v>
      </c>
      <c r="I71" t="s">
        <v>14</v>
      </c>
      <c r="J71" s="1">
        <v>44900</v>
      </c>
      <c r="K71" t="s">
        <v>1067</v>
      </c>
      <c r="L71">
        <v>13180</v>
      </c>
    </row>
    <row r="72" spans="1:12" x14ac:dyDescent="0.3">
      <c r="A72" t="s">
        <v>93</v>
      </c>
      <c r="B72" t="s">
        <v>1070</v>
      </c>
      <c r="C72" t="s">
        <v>16</v>
      </c>
      <c r="D72" t="s">
        <v>21</v>
      </c>
      <c r="E72" t="s">
        <v>25</v>
      </c>
      <c r="F72">
        <v>56250</v>
      </c>
      <c r="G72">
        <v>217549</v>
      </c>
      <c r="H72">
        <v>5847</v>
      </c>
      <c r="I72" t="s">
        <v>18</v>
      </c>
      <c r="J72" s="1">
        <v>44667</v>
      </c>
      <c r="K72" t="s">
        <v>1064</v>
      </c>
      <c r="L72">
        <v>4573</v>
      </c>
    </row>
    <row r="73" spans="1:12" x14ac:dyDescent="0.3">
      <c r="A73" t="s">
        <v>94</v>
      </c>
      <c r="B73" t="s">
        <v>1076</v>
      </c>
      <c r="C73" t="s">
        <v>11</v>
      </c>
      <c r="D73" t="s">
        <v>12</v>
      </c>
      <c r="E73" t="s">
        <v>23</v>
      </c>
      <c r="F73">
        <v>19126</v>
      </c>
      <c r="G73">
        <v>161272</v>
      </c>
      <c r="H73">
        <v>5397</v>
      </c>
      <c r="I73" t="s">
        <v>18</v>
      </c>
      <c r="J73" s="1">
        <v>44634</v>
      </c>
      <c r="K73" t="s">
        <v>1067</v>
      </c>
      <c r="L73">
        <v>13479</v>
      </c>
    </row>
    <row r="74" spans="1:12" x14ac:dyDescent="0.3">
      <c r="A74" t="s">
        <v>95</v>
      </c>
      <c r="B74" t="s">
        <v>1080</v>
      </c>
      <c r="C74" t="s">
        <v>20</v>
      </c>
      <c r="D74" t="s">
        <v>21</v>
      </c>
      <c r="E74" t="s">
        <v>13</v>
      </c>
      <c r="F74">
        <v>32885</v>
      </c>
      <c r="G74">
        <v>148406</v>
      </c>
      <c r="H74">
        <v>5389</v>
      </c>
      <c r="I74" t="s">
        <v>14</v>
      </c>
      <c r="J74" s="1">
        <v>44307</v>
      </c>
      <c r="K74" t="s">
        <v>1064</v>
      </c>
      <c r="L74">
        <v>16009</v>
      </c>
    </row>
    <row r="75" spans="1:12" x14ac:dyDescent="0.3">
      <c r="A75" t="s">
        <v>96</v>
      </c>
      <c r="B75" t="s">
        <v>1073</v>
      </c>
      <c r="C75" t="s">
        <v>11</v>
      </c>
      <c r="D75" t="s">
        <v>27</v>
      </c>
      <c r="E75" t="s">
        <v>25</v>
      </c>
      <c r="F75">
        <v>15488</v>
      </c>
      <c r="G75">
        <v>164265</v>
      </c>
      <c r="H75">
        <v>2783</v>
      </c>
      <c r="I75" t="s">
        <v>18</v>
      </c>
      <c r="J75" s="1">
        <v>44423</v>
      </c>
      <c r="K75" t="s">
        <v>1065</v>
      </c>
      <c r="L75">
        <v>543</v>
      </c>
    </row>
    <row r="76" spans="1:12" x14ac:dyDescent="0.3">
      <c r="A76" t="s">
        <v>97</v>
      </c>
      <c r="B76" t="s">
        <v>1070</v>
      </c>
      <c r="C76" t="s">
        <v>16</v>
      </c>
      <c r="D76" t="s">
        <v>21</v>
      </c>
      <c r="E76" t="s">
        <v>13</v>
      </c>
      <c r="F76">
        <v>42048</v>
      </c>
      <c r="G76">
        <v>212903</v>
      </c>
      <c r="H76">
        <v>2822</v>
      </c>
      <c r="I76" t="s">
        <v>18</v>
      </c>
      <c r="J76" s="1">
        <v>45594</v>
      </c>
      <c r="K76" t="s">
        <v>1065</v>
      </c>
      <c r="L76">
        <v>1026</v>
      </c>
    </row>
    <row r="77" spans="1:12" x14ac:dyDescent="0.3">
      <c r="A77" t="s">
        <v>98</v>
      </c>
      <c r="B77" t="s">
        <v>1069</v>
      </c>
      <c r="C77" t="s">
        <v>16</v>
      </c>
      <c r="D77" t="s">
        <v>34</v>
      </c>
      <c r="E77" t="s">
        <v>13</v>
      </c>
      <c r="F77">
        <v>55933</v>
      </c>
      <c r="G77">
        <v>214494</v>
      </c>
      <c r="H77">
        <v>3240</v>
      </c>
      <c r="I77" t="s">
        <v>14</v>
      </c>
      <c r="J77" s="1">
        <v>43523</v>
      </c>
      <c r="K77" t="s">
        <v>1065</v>
      </c>
      <c r="L77">
        <v>4595</v>
      </c>
    </row>
    <row r="78" spans="1:12" x14ac:dyDescent="0.3">
      <c r="A78" t="s">
        <v>99</v>
      </c>
      <c r="B78" t="s">
        <v>1079</v>
      </c>
      <c r="C78" t="s">
        <v>20</v>
      </c>
      <c r="D78" t="s">
        <v>34</v>
      </c>
      <c r="E78" t="s">
        <v>23</v>
      </c>
      <c r="F78">
        <v>15761</v>
      </c>
      <c r="G78">
        <v>202252</v>
      </c>
      <c r="H78">
        <v>6768</v>
      </c>
      <c r="I78" t="s">
        <v>18</v>
      </c>
      <c r="J78" s="1">
        <v>43664</v>
      </c>
      <c r="K78" t="s">
        <v>1064</v>
      </c>
      <c r="L78">
        <v>7513</v>
      </c>
    </row>
    <row r="79" spans="1:12" x14ac:dyDescent="0.3">
      <c r="A79" t="s">
        <v>100</v>
      </c>
      <c r="B79" t="s">
        <v>1076</v>
      </c>
      <c r="C79" t="s">
        <v>11</v>
      </c>
      <c r="D79" t="s">
        <v>12</v>
      </c>
      <c r="E79" t="s">
        <v>23</v>
      </c>
      <c r="F79">
        <v>51477</v>
      </c>
      <c r="G79">
        <v>249267</v>
      </c>
      <c r="H79">
        <v>4994</v>
      </c>
      <c r="I79" t="s">
        <v>18</v>
      </c>
      <c r="J79" s="1">
        <v>43166</v>
      </c>
      <c r="K79" t="s">
        <v>1064</v>
      </c>
      <c r="L79">
        <v>5088</v>
      </c>
    </row>
    <row r="80" spans="1:12" x14ac:dyDescent="0.3">
      <c r="A80" t="s">
        <v>101</v>
      </c>
      <c r="B80" t="s">
        <v>1074</v>
      </c>
      <c r="C80" t="s">
        <v>11</v>
      </c>
      <c r="D80" t="s">
        <v>34</v>
      </c>
      <c r="E80" t="s">
        <v>25</v>
      </c>
      <c r="F80">
        <v>50813</v>
      </c>
      <c r="G80">
        <v>224704</v>
      </c>
      <c r="H80">
        <v>4114</v>
      </c>
      <c r="I80" t="s">
        <v>14</v>
      </c>
      <c r="J80" s="1">
        <v>44633</v>
      </c>
      <c r="K80" t="s">
        <v>1063</v>
      </c>
      <c r="L80">
        <v>14847</v>
      </c>
    </row>
    <row r="81" spans="1:12" x14ac:dyDescent="0.3">
      <c r="A81" t="s">
        <v>102</v>
      </c>
      <c r="B81" t="s">
        <v>1072</v>
      </c>
      <c r="C81" t="s">
        <v>16</v>
      </c>
      <c r="D81" t="s">
        <v>17</v>
      </c>
      <c r="E81" t="s">
        <v>13</v>
      </c>
      <c r="F81">
        <v>53334</v>
      </c>
      <c r="G81">
        <v>231565</v>
      </c>
      <c r="H81">
        <v>2116</v>
      </c>
      <c r="I81" t="s">
        <v>18</v>
      </c>
      <c r="J81" s="1">
        <v>44278</v>
      </c>
      <c r="K81" t="s">
        <v>1067</v>
      </c>
      <c r="L81">
        <v>16668</v>
      </c>
    </row>
    <row r="82" spans="1:12" x14ac:dyDescent="0.3">
      <c r="A82" t="s">
        <v>103</v>
      </c>
      <c r="B82" t="s">
        <v>1073</v>
      </c>
      <c r="C82" t="s">
        <v>11</v>
      </c>
      <c r="D82" t="s">
        <v>27</v>
      </c>
      <c r="E82" t="s">
        <v>23</v>
      </c>
      <c r="F82">
        <v>23234</v>
      </c>
      <c r="G82">
        <v>87477</v>
      </c>
      <c r="H82">
        <v>5970</v>
      </c>
      <c r="I82" t="s">
        <v>14</v>
      </c>
      <c r="J82" s="1">
        <v>45089</v>
      </c>
      <c r="K82" t="s">
        <v>1067</v>
      </c>
      <c r="L82">
        <v>13792</v>
      </c>
    </row>
    <row r="83" spans="1:12" x14ac:dyDescent="0.3">
      <c r="A83" t="s">
        <v>104</v>
      </c>
      <c r="B83" t="s">
        <v>1082</v>
      </c>
      <c r="C83" t="s">
        <v>20</v>
      </c>
      <c r="D83" t="s">
        <v>17</v>
      </c>
      <c r="E83" t="s">
        <v>23</v>
      </c>
      <c r="F83">
        <v>15391</v>
      </c>
      <c r="G83">
        <v>106789</v>
      </c>
      <c r="H83">
        <v>4086</v>
      </c>
      <c r="I83" t="s">
        <v>14</v>
      </c>
      <c r="J83" s="1">
        <v>44200</v>
      </c>
      <c r="K83" t="s">
        <v>1067</v>
      </c>
      <c r="L83">
        <v>4158</v>
      </c>
    </row>
    <row r="84" spans="1:12" x14ac:dyDescent="0.3">
      <c r="A84" t="s">
        <v>105</v>
      </c>
      <c r="B84" t="s">
        <v>1082</v>
      </c>
      <c r="C84" t="s">
        <v>20</v>
      </c>
      <c r="D84" t="s">
        <v>17</v>
      </c>
      <c r="E84" t="s">
        <v>23</v>
      </c>
      <c r="F84">
        <v>49046</v>
      </c>
      <c r="G84">
        <v>79907</v>
      </c>
      <c r="H84">
        <v>2869</v>
      </c>
      <c r="I84" t="s">
        <v>18</v>
      </c>
      <c r="J84" s="1">
        <v>43990</v>
      </c>
      <c r="K84" t="s">
        <v>1066</v>
      </c>
      <c r="L84">
        <v>2542</v>
      </c>
    </row>
    <row r="85" spans="1:12" x14ac:dyDescent="0.3">
      <c r="A85" t="s">
        <v>106</v>
      </c>
      <c r="B85" t="s">
        <v>1069</v>
      </c>
      <c r="C85" t="s">
        <v>16</v>
      </c>
      <c r="D85" t="s">
        <v>34</v>
      </c>
      <c r="E85" t="s">
        <v>13</v>
      </c>
      <c r="F85">
        <v>22290</v>
      </c>
      <c r="G85">
        <v>203964</v>
      </c>
      <c r="H85">
        <v>1519</v>
      </c>
      <c r="I85" t="s">
        <v>18</v>
      </c>
      <c r="J85" s="1">
        <v>45092</v>
      </c>
      <c r="K85" t="s">
        <v>1067</v>
      </c>
      <c r="L85">
        <v>8621</v>
      </c>
    </row>
    <row r="86" spans="1:12" x14ac:dyDescent="0.3">
      <c r="A86" t="s">
        <v>107</v>
      </c>
      <c r="B86" t="s">
        <v>1078</v>
      </c>
      <c r="C86" t="s">
        <v>20</v>
      </c>
      <c r="D86" t="s">
        <v>27</v>
      </c>
      <c r="E86" t="s">
        <v>23</v>
      </c>
      <c r="F86">
        <v>20873</v>
      </c>
      <c r="G86">
        <v>195780</v>
      </c>
      <c r="H86">
        <v>3441</v>
      </c>
      <c r="I86" t="s">
        <v>14</v>
      </c>
      <c r="J86" s="1">
        <v>43841</v>
      </c>
      <c r="K86" t="s">
        <v>1063</v>
      </c>
      <c r="L86">
        <v>16219</v>
      </c>
    </row>
    <row r="87" spans="1:12" x14ac:dyDescent="0.3">
      <c r="A87" t="s">
        <v>108</v>
      </c>
      <c r="B87" t="s">
        <v>1071</v>
      </c>
      <c r="C87" t="s">
        <v>16</v>
      </c>
      <c r="D87" t="s">
        <v>12</v>
      </c>
      <c r="E87" t="s">
        <v>13</v>
      </c>
      <c r="F87">
        <v>57009</v>
      </c>
      <c r="G87">
        <v>146234</v>
      </c>
      <c r="H87">
        <v>3436</v>
      </c>
      <c r="I87" t="s">
        <v>18</v>
      </c>
      <c r="J87" s="1">
        <v>44495</v>
      </c>
      <c r="K87" t="s">
        <v>1063</v>
      </c>
      <c r="L87">
        <v>12493</v>
      </c>
    </row>
    <row r="88" spans="1:12" x14ac:dyDescent="0.3">
      <c r="A88" t="s">
        <v>109</v>
      </c>
      <c r="B88" t="s">
        <v>1079</v>
      </c>
      <c r="C88" t="s">
        <v>20</v>
      </c>
      <c r="D88" t="s">
        <v>34</v>
      </c>
      <c r="E88" t="s">
        <v>25</v>
      </c>
      <c r="F88">
        <v>26860</v>
      </c>
      <c r="G88">
        <v>216018</v>
      </c>
      <c r="H88">
        <v>3458</v>
      </c>
      <c r="I88" t="s">
        <v>14</v>
      </c>
      <c r="J88" s="1">
        <v>45494</v>
      </c>
      <c r="K88" t="s">
        <v>1067</v>
      </c>
      <c r="L88">
        <v>11734</v>
      </c>
    </row>
    <row r="89" spans="1:12" x14ac:dyDescent="0.3">
      <c r="A89" t="s">
        <v>110</v>
      </c>
      <c r="B89" t="s">
        <v>1076</v>
      </c>
      <c r="C89" t="s">
        <v>11</v>
      </c>
      <c r="D89" t="s">
        <v>12</v>
      </c>
      <c r="E89" t="s">
        <v>23</v>
      </c>
      <c r="F89">
        <v>28532</v>
      </c>
      <c r="G89">
        <v>194485</v>
      </c>
      <c r="H89">
        <v>6418</v>
      </c>
      <c r="I89" t="s">
        <v>14</v>
      </c>
      <c r="J89" s="1">
        <v>43471</v>
      </c>
      <c r="K89" t="s">
        <v>1065</v>
      </c>
      <c r="L89">
        <v>5270</v>
      </c>
    </row>
    <row r="90" spans="1:12" x14ac:dyDescent="0.3">
      <c r="A90" t="s">
        <v>111</v>
      </c>
      <c r="B90" t="s">
        <v>1073</v>
      </c>
      <c r="C90" t="s">
        <v>11</v>
      </c>
      <c r="D90" t="s">
        <v>27</v>
      </c>
      <c r="E90" t="s">
        <v>25</v>
      </c>
      <c r="F90">
        <v>45561</v>
      </c>
      <c r="G90">
        <v>175012</v>
      </c>
      <c r="H90">
        <v>2034</v>
      </c>
      <c r="I90" t="s">
        <v>14</v>
      </c>
      <c r="J90" s="1">
        <v>44063</v>
      </c>
      <c r="K90" t="s">
        <v>1063</v>
      </c>
      <c r="L90">
        <v>9769</v>
      </c>
    </row>
    <row r="91" spans="1:12" x14ac:dyDescent="0.3">
      <c r="A91" t="s">
        <v>112</v>
      </c>
      <c r="B91" t="s">
        <v>1081</v>
      </c>
      <c r="C91" t="s">
        <v>20</v>
      </c>
      <c r="D91" t="s">
        <v>12</v>
      </c>
      <c r="E91" t="s">
        <v>23</v>
      </c>
      <c r="F91">
        <v>32881</v>
      </c>
      <c r="G91">
        <v>151156</v>
      </c>
      <c r="H91">
        <v>5103</v>
      </c>
      <c r="I91" t="s">
        <v>14</v>
      </c>
      <c r="J91" s="1">
        <v>43126</v>
      </c>
      <c r="K91" t="s">
        <v>1067</v>
      </c>
      <c r="L91">
        <v>8986</v>
      </c>
    </row>
    <row r="92" spans="1:12" x14ac:dyDescent="0.3">
      <c r="A92" t="s">
        <v>113</v>
      </c>
      <c r="B92" t="s">
        <v>1068</v>
      </c>
      <c r="C92" t="s">
        <v>16</v>
      </c>
      <c r="D92" t="s">
        <v>27</v>
      </c>
      <c r="E92" t="s">
        <v>25</v>
      </c>
      <c r="F92">
        <v>32855</v>
      </c>
      <c r="G92">
        <v>108869</v>
      </c>
      <c r="H92">
        <v>1648</v>
      </c>
      <c r="I92" t="s">
        <v>18</v>
      </c>
      <c r="J92" s="1">
        <v>44556</v>
      </c>
      <c r="K92" t="s">
        <v>1066</v>
      </c>
      <c r="L92">
        <v>16134</v>
      </c>
    </row>
    <row r="93" spans="1:12" x14ac:dyDescent="0.3">
      <c r="A93" t="s">
        <v>114</v>
      </c>
      <c r="B93" t="s">
        <v>1081</v>
      </c>
      <c r="C93" t="s">
        <v>20</v>
      </c>
      <c r="D93" t="s">
        <v>12</v>
      </c>
      <c r="E93" t="s">
        <v>23</v>
      </c>
      <c r="F93">
        <v>33913</v>
      </c>
      <c r="G93">
        <v>202625</v>
      </c>
      <c r="H93">
        <v>1838</v>
      </c>
      <c r="I93" t="s">
        <v>14</v>
      </c>
      <c r="J93" s="1">
        <v>44678</v>
      </c>
      <c r="K93" t="s">
        <v>1064</v>
      </c>
      <c r="L93">
        <v>12797</v>
      </c>
    </row>
    <row r="94" spans="1:12" x14ac:dyDescent="0.3">
      <c r="A94" t="s">
        <v>115</v>
      </c>
      <c r="B94" t="s">
        <v>1079</v>
      </c>
      <c r="C94" t="s">
        <v>20</v>
      </c>
      <c r="D94" t="s">
        <v>34</v>
      </c>
      <c r="E94" t="s">
        <v>23</v>
      </c>
      <c r="F94">
        <v>32424</v>
      </c>
      <c r="G94">
        <v>181538</v>
      </c>
      <c r="H94">
        <v>5326</v>
      </c>
      <c r="I94" t="s">
        <v>14</v>
      </c>
      <c r="J94" s="1">
        <v>43513</v>
      </c>
      <c r="K94" t="s">
        <v>1063</v>
      </c>
      <c r="L94">
        <v>9118</v>
      </c>
    </row>
    <row r="95" spans="1:12" x14ac:dyDescent="0.3">
      <c r="A95" t="s">
        <v>116</v>
      </c>
      <c r="B95" t="s">
        <v>1071</v>
      </c>
      <c r="C95" t="s">
        <v>16</v>
      </c>
      <c r="D95" t="s">
        <v>12</v>
      </c>
      <c r="E95" t="s">
        <v>23</v>
      </c>
      <c r="F95">
        <v>34301</v>
      </c>
      <c r="G95">
        <v>97717</v>
      </c>
      <c r="H95">
        <v>5281</v>
      </c>
      <c r="I95" t="s">
        <v>14</v>
      </c>
      <c r="J95" s="1">
        <v>44188</v>
      </c>
      <c r="K95" t="s">
        <v>1066</v>
      </c>
      <c r="L95">
        <v>2989</v>
      </c>
    </row>
    <row r="96" spans="1:12" x14ac:dyDescent="0.3">
      <c r="A96" t="s">
        <v>117</v>
      </c>
      <c r="B96" t="s">
        <v>1069</v>
      </c>
      <c r="C96" t="s">
        <v>16</v>
      </c>
      <c r="D96" t="s">
        <v>34</v>
      </c>
      <c r="E96" t="s">
        <v>23</v>
      </c>
      <c r="F96">
        <v>29504</v>
      </c>
      <c r="G96">
        <v>172711</v>
      </c>
      <c r="H96">
        <v>6316</v>
      </c>
      <c r="I96" t="s">
        <v>18</v>
      </c>
      <c r="J96" s="1">
        <v>43678</v>
      </c>
      <c r="K96" t="s">
        <v>1065</v>
      </c>
      <c r="L96">
        <v>17270</v>
      </c>
    </row>
    <row r="97" spans="1:12" x14ac:dyDescent="0.3">
      <c r="A97" t="s">
        <v>118</v>
      </c>
      <c r="B97" t="s">
        <v>1076</v>
      </c>
      <c r="C97" t="s">
        <v>11</v>
      </c>
      <c r="D97" t="s">
        <v>12</v>
      </c>
      <c r="E97" t="s">
        <v>23</v>
      </c>
      <c r="F97">
        <v>23887</v>
      </c>
      <c r="G97">
        <v>230814</v>
      </c>
      <c r="H97">
        <v>5426</v>
      </c>
      <c r="I97" t="s">
        <v>14</v>
      </c>
      <c r="J97" s="1">
        <v>44934</v>
      </c>
      <c r="K97" t="s">
        <v>1064</v>
      </c>
      <c r="L97">
        <v>3801</v>
      </c>
    </row>
    <row r="98" spans="1:12" x14ac:dyDescent="0.3">
      <c r="A98" t="s">
        <v>119</v>
      </c>
      <c r="B98" t="s">
        <v>1070</v>
      </c>
      <c r="C98" t="s">
        <v>16</v>
      </c>
      <c r="D98" t="s">
        <v>21</v>
      </c>
      <c r="E98" t="s">
        <v>13</v>
      </c>
      <c r="F98">
        <v>43976</v>
      </c>
      <c r="G98">
        <v>62729</v>
      </c>
      <c r="H98">
        <v>2752</v>
      </c>
      <c r="I98" t="s">
        <v>18</v>
      </c>
      <c r="J98" s="1">
        <v>43637</v>
      </c>
      <c r="K98" t="s">
        <v>1063</v>
      </c>
      <c r="L98">
        <v>4041</v>
      </c>
    </row>
    <row r="99" spans="1:12" x14ac:dyDescent="0.3">
      <c r="A99" t="s">
        <v>120</v>
      </c>
      <c r="B99" t="s">
        <v>1080</v>
      </c>
      <c r="C99" t="s">
        <v>20</v>
      </c>
      <c r="D99" t="s">
        <v>21</v>
      </c>
      <c r="E99" t="s">
        <v>13</v>
      </c>
      <c r="F99">
        <v>30612</v>
      </c>
      <c r="G99">
        <v>196987</v>
      </c>
      <c r="H99">
        <v>2242</v>
      </c>
      <c r="I99" t="s">
        <v>18</v>
      </c>
      <c r="J99" s="1">
        <v>44204</v>
      </c>
      <c r="K99" t="s">
        <v>1063</v>
      </c>
      <c r="L99">
        <v>12168</v>
      </c>
    </row>
    <row r="100" spans="1:12" x14ac:dyDescent="0.3">
      <c r="A100" t="s">
        <v>121</v>
      </c>
      <c r="B100" t="s">
        <v>1068</v>
      </c>
      <c r="C100" t="s">
        <v>16</v>
      </c>
      <c r="D100" t="s">
        <v>27</v>
      </c>
      <c r="E100" t="s">
        <v>25</v>
      </c>
      <c r="F100">
        <v>42617</v>
      </c>
      <c r="G100">
        <v>179320</v>
      </c>
      <c r="H100">
        <v>3177</v>
      </c>
      <c r="I100" t="s">
        <v>18</v>
      </c>
      <c r="J100" s="1">
        <v>44097</v>
      </c>
      <c r="K100" t="s">
        <v>1063</v>
      </c>
      <c r="L100">
        <v>5075</v>
      </c>
    </row>
    <row r="101" spans="1:12" x14ac:dyDescent="0.3">
      <c r="A101" t="s">
        <v>122</v>
      </c>
      <c r="B101" t="s">
        <v>1074</v>
      </c>
      <c r="C101" t="s">
        <v>11</v>
      </c>
      <c r="D101" t="s">
        <v>34</v>
      </c>
      <c r="E101" t="s">
        <v>13</v>
      </c>
      <c r="F101">
        <v>16158</v>
      </c>
      <c r="G101">
        <v>223929</v>
      </c>
      <c r="H101">
        <v>3697</v>
      </c>
      <c r="I101" t="s">
        <v>14</v>
      </c>
      <c r="J101" s="1">
        <v>44679</v>
      </c>
      <c r="K101" t="s">
        <v>1064</v>
      </c>
      <c r="L101">
        <v>15155</v>
      </c>
    </row>
    <row r="102" spans="1:12" x14ac:dyDescent="0.3">
      <c r="A102" t="s">
        <v>123</v>
      </c>
      <c r="B102" t="s">
        <v>1080</v>
      </c>
      <c r="C102" t="s">
        <v>20</v>
      </c>
      <c r="D102" t="s">
        <v>21</v>
      </c>
      <c r="E102" t="s">
        <v>23</v>
      </c>
      <c r="F102">
        <v>19647</v>
      </c>
      <c r="G102">
        <v>199117</v>
      </c>
      <c r="H102">
        <v>3576</v>
      </c>
      <c r="I102" t="s">
        <v>18</v>
      </c>
      <c r="J102" s="1">
        <v>43124</v>
      </c>
      <c r="K102" t="s">
        <v>1065</v>
      </c>
      <c r="L102">
        <v>2464</v>
      </c>
    </row>
    <row r="103" spans="1:12" x14ac:dyDescent="0.3">
      <c r="A103" t="s">
        <v>124</v>
      </c>
      <c r="B103" t="s">
        <v>1082</v>
      </c>
      <c r="C103" t="s">
        <v>20</v>
      </c>
      <c r="D103" t="s">
        <v>17</v>
      </c>
      <c r="E103" t="s">
        <v>25</v>
      </c>
      <c r="F103">
        <v>48132</v>
      </c>
      <c r="G103">
        <v>111291</v>
      </c>
      <c r="H103">
        <v>6158</v>
      </c>
      <c r="I103" t="s">
        <v>18</v>
      </c>
      <c r="J103" s="1">
        <v>45241</v>
      </c>
      <c r="K103" t="s">
        <v>1066</v>
      </c>
      <c r="L103">
        <v>17479</v>
      </c>
    </row>
    <row r="104" spans="1:12" x14ac:dyDescent="0.3">
      <c r="A104" t="s">
        <v>125</v>
      </c>
      <c r="B104" t="s">
        <v>1080</v>
      </c>
      <c r="C104" t="s">
        <v>20</v>
      </c>
      <c r="D104" t="s">
        <v>21</v>
      </c>
      <c r="E104" t="s">
        <v>13</v>
      </c>
      <c r="F104">
        <v>47654</v>
      </c>
      <c r="G104">
        <v>192215</v>
      </c>
      <c r="H104">
        <v>6277</v>
      </c>
      <c r="I104" t="s">
        <v>18</v>
      </c>
      <c r="J104" s="1">
        <v>45274</v>
      </c>
      <c r="K104" t="s">
        <v>1067</v>
      </c>
      <c r="L104">
        <v>1238</v>
      </c>
    </row>
    <row r="105" spans="1:12" x14ac:dyDescent="0.3">
      <c r="A105" t="s">
        <v>126</v>
      </c>
      <c r="B105" t="s">
        <v>1074</v>
      </c>
      <c r="C105" t="s">
        <v>11</v>
      </c>
      <c r="D105" t="s">
        <v>34</v>
      </c>
      <c r="E105" t="s">
        <v>23</v>
      </c>
      <c r="F105">
        <v>28665</v>
      </c>
      <c r="G105">
        <v>197646</v>
      </c>
      <c r="H105">
        <v>2800</v>
      </c>
      <c r="I105" t="s">
        <v>18</v>
      </c>
      <c r="J105" s="1">
        <v>43793</v>
      </c>
      <c r="K105" t="s">
        <v>1064</v>
      </c>
      <c r="L105">
        <v>19286</v>
      </c>
    </row>
    <row r="106" spans="1:12" x14ac:dyDescent="0.3">
      <c r="A106" t="s">
        <v>127</v>
      </c>
      <c r="B106" t="s">
        <v>1081</v>
      </c>
      <c r="C106" t="s">
        <v>20</v>
      </c>
      <c r="D106" t="s">
        <v>12</v>
      </c>
      <c r="E106" t="s">
        <v>25</v>
      </c>
      <c r="F106">
        <v>17957</v>
      </c>
      <c r="G106">
        <v>233401</v>
      </c>
      <c r="H106">
        <v>4020</v>
      </c>
      <c r="I106" t="s">
        <v>14</v>
      </c>
      <c r="J106" s="1">
        <v>44077</v>
      </c>
      <c r="K106" t="s">
        <v>1065</v>
      </c>
      <c r="L106">
        <v>723</v>
      </c>
    </row>
    <row r="107" spans="1:12" x14ac:dyDescent="0.3">
      <c r="A107" t="s">
        <v>128</v>
      </c>
      <c r="B107" t="s">
        <v>1081</v>
      </c>
      <c r="C107" t="s">
        <v>20</v>
      </c>
      <c r="D107" t="s">
        <v>12</v>
      </c>
      <c r="E107" t="s">
        <v>25</v>
      </c>
      <c r="F107">
        <v>24155</v>
      </c>
      <c r="G107">
        <v>245252</v>
      </c>
      <c r="H107">
        <v>6483</v>
      </c>
      <c r="I107" t="s">
        <v>18</v>
      </c>
      <c r="J107" s="1">
        <v>44912</v>
      </c>
      <c r="K107" t="s">
        <v>1067</v>
      </c>
      <c r="L107">
        <v>9772</v>
      </c>
    </row>
    <row r="108" spans="1:12" x14ac:dyDescent="0.3">
      <c r="A108" t="s">
        <v>129</v>
      </c>
      <c r="B108" t="s">
        <v>1076</v>
      </c>
      <c r="C108" t="s">
        <v>11</v>
      </c>
      <c r="D108" t="s">
        <v>12</v>
      </c>
      <c r="E108" t="s">
        <v>13</v>
      </c>
      <c r="F108">
        <v>26243</v>
      </c>
      <c r="G108">
        <v>125455</v>
      </c>
      <c r="H108">
        <v>5178</v>
      </c>
      <c r="I108" t="s">
        <v>18</v>
      </c>
      <c r="J108" s="1">
        <v>43334</v>
      </c>
      <c r="K108" t="s">
        <v>1063</v>
      </c>
      <c r="L108">
        <v>8068</v>
      </c>
    </row>
    <row r="109" spans="1:12" x14ac:dyDescent="0.3">
      <c r="A109" t="s">
        <v>130</v>
      </c>
      <c r="B109" t="s">
        <v>1071</v>
      </c>
      <c r="C109" t="s">
        <v>16</v>
      </c>
      <c r="D109" t="s">
        <v>12</v>
      </c>
      <c r="E109" t="s">
        <v>13</v>
      </c>
      <c r="F109">
        <v>36621</v>
      </c>
      <c r="G109">
        <v>88054</v>
      </c>
      <c r="H109">
        <v>5771</v>
      </c>
      <c r="I109" t="s">
        <v>18</v>
      </c>
      <c r="J109" s="1">
        <v>43185</v>
      </c>
      <c r="K109" t="s">
        <v>1063</v>
      </c>
      <c r="L109">
        <v>8250</v>
      </c>
    </row>
    <row r="110" spans="1:12" x14ac:dyDescent="0.3">
      <c r="A110" t="s">
        <v>131</v>
      </c>
      <c r="B110" t="s">
        <v>1073</v>
      </c>
      <c r="C110" t="s">
        <v>11</v>
      </c>
      <c r="D110" t="s">
        <v>27</v>
      </c>
      <c r="E110" t="s">
        <v>25</v>
      </c>
      <c r="F110">
        <v>38978</v>
      </c>
      <c r="G110">
        <v>109146</v>
      </c>
      <c r="H110">
        <v>3130</v>
      </c>
      <c r="I110" t="s">
        <v>14</v>
      </c>
      <c r="J110" s="1">
        <v>43334</v>
      </c>
      <c r="K110" t="s">
        <v>1063</v>
      </c>
      <c r="L110">
        <v>17702</v>
      </c>
    </row>
    <row r="111" spans="1:12" x14ac:dyDescent="0.3">
      <c r="A111" t="s">
        <v>132</v>
      </c>
      <c r="B111" t="s">
        <v>1078</v>
      </c>
      <c r="C111" t="s">
        <v>20</v>
      </c>
      <c r="D111" t="s">
        <v>27</v>
      </c>
      <c r="E111" t="s">
        <v>13</v>
      </c>
      <c r="F111">
        <v>30932</v>
      </c>
      <c r="G111">
        <v>182741</v>
      </c>
      <c r="H111">
        <v>5016</v>
      </c>
      <c r="I111" t="s">
        <v>14</v>
      </c>
      <c r="J111" s="1">
        <v>45148</v>
      </c>
      <c r="K111" t="s">
        <v>1066</v>
      </c>
      <c r="L111">
        <v>13201</v>
      </c>
    </row>
    <row r="112" spans="1:12" x14ac:dyDescent="0.3">
      <c r="A112" t="s">
        <v>133</v>
      </c>
      <c r="B112" t="s">
        <v>1076</v>
      </c>
      <c r="C112" t="s">
        <v>11</v>
      </c>
      <c r="D112" t="s">
        <v>12</v>
      </c>
      <c r="E112" t="s">
        <v>23</v>
      </c>
      <c r="F112">
        <v>28616</v>
      </c>
      <c r="G112">
        <v>65777</v>
      </c>
      <c r="H112">
        <v>5850</v>
      </c>
      <c r="I112" t="s">
        <v>14</v>
      </c>
      <c r="J112" s="1">
        <v>45064</v>
      </c>
      <c r="K112" t="s">
        <v>1063</v>
      </c>
      <c r="L112">
        <v>9434</v>
      </c>
    </row>
    <row r="113" spans="1:12" x14ac:dyDescent="0.3">
      <c r="A113" t="s">
        <v>134</v>
      </c>
      <c r="B113" t="s">
        <v>1082</v>
      </c>
      <c r="C113" t="s">
        <v>20</v>
      </c>
      <c r="D113" t="s">
        <v>17</v>
      </c>
      <c r="E113" t="s">
        <v>25</v>
      </c>
      <c r="F113">
        <v>45018</v>
      </c>
      <c r="G113">
        <v>162210</v>
      </c>
      <c r="H113">
        <v>4826</v>
      </c>
      <c r="I113" t="s">
        <v>18</v>
      </c>
      <c r="J113" s="1">
        <v>45429</v>
      </c>
      <c r="K113" t="s">
        <v>1064</v>
      </c>
      <c r="L113">
        <v>14707</v>
      </c>
    </row>
    <row r="114" spans="1:12" x14ac:dyDescent="0.3">
      <c r="A114" t="s">
        <v>135</v>
      </c>
      <c r="B114" t="s">
        <v>1077</v>
      </c>
      <c r="C114" t="s">
        <v>11</v>
      </c>
      <c r="D114" t="s">
        <v>17</v>
      </c>
      <c r="E114" t="s">
        <v>23</v>
      </c>
      <c r="F114">
        <v>35351</v>
      </c>
      <c r="G114">
        <v>150390</v>
      </c>
      <c r="H114">
        <v>6156</v>
      </c>
      <c r="I114" t="s">
        <v>18</v>
      </c>
      <c r="J114" s="1">
        <v>45229</v>
      </c>
      <c r="K114" t="s">
        <v>1065</v>
      </c>
      <c r="L114">
        <v>11627</v>
      </c>
    </row>
    <row r="115" spans="1:12" x14ac:dyDescent="0.3">
      <c r="A115" t="s">
        <v>136</v>
      </c>
      <c r="B115" t="s">
        <v>1072</v>
      </c>
      <c r="C115" t="s">
        <v>16</v>
      </c>
      <c r="D115" t="s">
        <v>17</v>
      </c>
      <c r="E115" t="s">
        <v>23</v>
      </c>
      <c r="F115">
        <v>19241</v>
      </c>
      <c r="G115">
        <v>183004</v>
      </c>
      <c r="H115">
        <v>6966</v>
      </c>
      <c r="I115" t="s">
        <v>14</v>
      </c>
      <c r="J115" s="1">
        <v>45589</v>
      </c>
      <c r="K115" t="s">
        <v>1065</v>
      </c>
      <c r="L115">
        <v>19108</v>
      </c>
    </row>
    <row r="116" spans="1:12" x14ac:dyDescent="0.3">
      <c r="A116" t="s">
        <v>137</v>
      </c>
      <c r="B116" t="s">
        <v>1068</v>
      </c>
      <c r="C116" t="s">
        <v>16</v>
      </c>
      <c r="D116" t="s">
        <v>27</v>
      </c>
      <c r="E116" t="s">
        <v>25</v>
      </c>
      <c r="F116">
        <v>50745</v>
      </c>
      <c r="G116">
        <v>204260</v>
      </c>
      <c r="H116">
        <v>3480</v>
      </c>
      <c r="I116" t="s">
        <v>14</v>
      </c>
      <c r="J116" s="1">
        <v>44703</v>
      </c>
      <c r="K116" t="s">
        <v>1065</v>
      </c>
      <c r="L116">
        <v>19423</v>
      </c>
    </row>
    <row r="117" spans="1:12" x14ac:dyDescent="0.3">
      <c r="A117" t="s">
        <v>138</v>
      </c>
      <c r="B117" t="s">
        <v>1072</v>
      </c>
      <c r="C117" t="s">
        <v>16</v>
      </c>
      <c r="D117" t="s">
        <v>17</v>
      </c>
      <c r="E117" t="s">
        <v>13</v>
      </c>
      <c r="F117">
        <v>17208</v>
      </c>
      <c r="G117">
        <v>183480</v>
      </c>
      <c r="H117">
        <v>4751</v>
      </c>
      <c r="I117" t="s">
        <v>14</v>
      </c>
      <c r="J117" s="1">
        <v>44619</v>
      </c>
      <c r="K117" t="s">
        <v>1064</v>
      </c>
      <c r="L117">
        <v>9668</v>
      </c>
    </row>
    <row r="118" spans="1:12" x14ac:dyDescent="0.3">
      <c r="A118" t="s">
        <v>139</v>
      </c>
      <c r="B118" t="s">
        <v>1081</v>
      </c>
      <c r="C118" t="s">
        <v>20</v>
      </c>
      <c r="D118" t="s">
        <v>12</v>
      </c>
      <c r="E118" t="s">
        <v>23</v>
      </c>
      <c r="F118">
        <v>46566</v>
      </c>
      <c r="G118">
        <v>132151</v>
      </c>
      <c r="H118">
        <v>2123</v>
      </c>
      <c r="I118" t="s">
        <v>14</v>
      </c>
      <c r="J118" s="1">
        <v>43563</v>
      </c>
      <c r="K118" t="s">
        <v>1065</v>
      </c>
      <c r="L118">
        <v>19466</v>
      </c>
    </row>
    <row r="119" spans="1:12" x14ac:dyDescent="0.3">
      <c r="A119" t="s">
        <v>140</v>
      </c>
      <c r="B119" t="s">
        <v>1079</v>
      </c>
      <c r="C119" t="s">
        <v>20</v>
      </c>
      <c r="D119" t="s">
        <v>34</v>
      </c>
      <c r="E119" t="s">
        <v>13</v>
      </c>
      <c r="F119">
        <v>33321</v>
      </c>
      <c r="G119">
        <v>70453</v>
      </c>
      <c r="H119">
        <v>2068</v>
      </c>
      <c r="I119" t="s">
        <v>14</v>
      </c>
      <c r="J119" s="1">
        <v>44950</v>
      </c>
      <c r="K119" t="s">
        <v>1066</v>
      </c>
      <c r="L119">
        <v>12062</v>
      </c>
    </row>
    <row r="120" spans="1:12" x14ac:dyDescent="0.3">
      <c r="A120" t="s">
        <v>141</v>
      </c>
      <c r="B120" t="s">
        <v>1071</v>
      </c>
      <c r="C120" t="s">
        <v>16</v>
      </c>
      <c r="D120" t="s">
        <v>12</v>
      </c>
      <c r="E120" t="s">
        <v>13</v>
      </c>
      <c r="F120">
        <v>20612</v>
      </c>
      <c r="G120">
        <v>229416</v>
      </c>
      <c r="H120">
        <v>2157</v>
      </c>
      <c r="I120" t="s">
        <v>14</v>
      </c>
      <c r="J120" s="1">
        <v>43809</v>
      </c>
      <c r="K120" t="s">
        <v>1066</v>
      </c>
      <c r="L120">
        <v>2770</v>
      </c>
    </row>
    <row r="121" spans="1:12" x14ac:dyDescent="0.3">
      <c r="A121" t="s">
        <v>142</v>
      </c>
      <c r="B121" t="s">
        <v>1075</v>
      </c>
      <c r="C121" t="s">
        <v>11</v>
      </c>
      <c r="D121" t="s">
        <v>21</v>
      </c>
      <c r="E121" t="s">
        <v>13</v>
      </c>
      <c r="F121">
        <v>46183</v>
      </c>
      <c r="G121">
        <v>75688</v>
      </c>
      <c r="H121">
        <v>4102</v>
      </c>
      <c r="I121" t="s">
        <v>18</v>
      </c>
      <c r="J121" s="1">
        <v>44177</v>
      </c>
      <c r="K121" t="s">
        <v>1064</v>
      </c>
      <c r="L121">
        <v>13859</v>
      </c>
    </row>
    <row r="122" spans="1:12" x14ac:dyDescent="0.3">
      <c r="A122" t="s">
        <v>143</v>
      </c>
      <c r="B122" t="s">
        <v>1082</v>
      </c>
      <c r="C122" t="s">
        <v>20</v>
      </c>
      <c r="D122" t="s">
        <v>17</v>
      </c>
      <c r="E122" t="s">
        <v>25</v>
      </c>
      <c r="F122">
        <v>40961</v>
      </c>
      <c r="G122">
        <v>185634</v>
      </c>
      <c r="H122">
        <v>5575</v>
      </c>
      <c r="I122" t="s">
        <v>18</v>
      </c>
      <c r="J122" s="1">
        <v>45025</v>
      </c>
      <c r="K122" t="s">
        <v>1063</v>
      </c>
      <c r="L122">
        <v>10048</v>
      </c>
    </row>
    <row r="123" spans="1:12" x14ac:dyDescent="0.3">
      <c r="A123" t="s">
        <v>144</v>
      </c>
      <c r="B123" t="s">
        <v>1082</v>
      </c>
      <c r="C123" t="s">
        <v>20</v>
      </c>
      <c r="D123" t="s">
        <v>17</v>
      </c>
      <c r="E123" t="s">
        <v>13</v>
      </c>
      <c r="F123">
        <v>58780</v>
      </c>
      <c r="G123">
        <v>79854</v>
      </c>
      <c r="H123">
        <v>4588</v>
      </c>
      <c r="I123" t="s">
        <v>14</v>
      </c>
      <c r="J123" s="1">
        <v>43355</v>
      </c>
      <c r="K123" t="s">
        <v>1064</v>
      </c>
      <c r="L123">
        <v>7348</v>
      </c>
    </row>
    <row r="124" spans="1:12" x14ac:dyDescent="0.3">
      <c r="A124" t="s">
        <v>145</v>
      </c>
      <c r="B124" t="s">
        <v>1077</v>
      </c>
      <c r="C124" t="s">
        <v>11</v>
      </c>
      <c r="D124" t="s">
        <v>17</v>
      </c>
      <c r="E124" t="s">
        <v>23</v>
      </c>
      <c r="F124">
        <v>33563</v>
      </c>
      <c r="G124">
        <v>90100</v>
      </c>
      <c r="H124">
        <v>5472</v>
      </c>
      <c r="I124" t="s">
        <v>14</v>
      </c>
      <c r="J124" s="1">
        <v>45548</v>
      </c>
      <c r="K124" t="s">
        <v>1063</v>
      </c>
      <c r="L124">
        <v>12476</v>
      </c>
    </row>
    <row r="125" spans="1:12" x14ac:dyDescent="0.3">
      <c r="A125" t="s">
        <v>146</v>
      </c>
      <c r="B125" t="s">
        <v>1073</v>
      </c>
      <c r="C125" t="s">
        <v>11</v>
      </c>
      <c r="D125" t="s">
        <v>27</v>
      </c>
      <c r="E125" t="s">
        <v>25</v>
      </c>
      <c r="F125">
        <v>36013</v>
      </c>
      <c r="G125">
        <v>62400</v>
      </c>
      <c r="H125">
        <v>2386</v>
      </c>
      <c r="I125" t="s">
        <v>18</v>
      </c>
      <c r="J125" s="1">
        <v>43450</v>
      </c>
      <c r="K125" t="s">
        <v>1065</v>
      </c>
      <c r="L125">
        <v>2292</v>
      </c>
    </row>
    <row r="126" spans="1:12" x14ac:dyDescent="0.3">
      <c r="A126" t="s">
        <v>147</v>
      </c>
      <c r="B126" t="s">
        <v>1077</v>
      </c>
      <c r="C126" t="s">
        <v>11</v>
      </c>
      <c r="D126" t="s">
        <v>17</v>
      </c>
      <c r="E126" t="s">
        <v>25</v>
      </c>
      <c r="F126">
        <v>21456</v>
      </c>
      <c r="G126">
        <v>213213</v>
      </c>
      <c r="H126">
        <v>4291</v>
      </c>
      <c r="I126" t="s">
        <v>14</v>
      </c>
      <c r="J126" s="1">
        <v>44465</v>
      </c>
      <c r="K126" t="s">
        <v>1065</v>
      </c>
      <c r="L126">
        <v>12090</v>
      </c>
    </row>
    <row r="127" spans="1:12" x14ac:dyDescent="0.3">
      <c r="A127" t="s">
        <v>148</v>
      </c>
      <c r="B127" t="s">
        <v>1072</v>
      </c>
      <c r="C127" t="s">
        <v>16</v>
      </c>
      <c r="D127" t="s">
        <v>17</v>
      </c>
      <c r="E127" t="s">
        <v>23</v>
      </c>
      <c r="F127">
        <v>54709</v>
      </c>
      <c r="G127">
        <v>166978</v>
      </c>
      <c r="H127">
        <v>3489</v>
      </c>
      <c r="I127" t="s">
        <v>18</v>
      </c>
      <c r="J127" s="1">
        <v>43969</v>
      </c>
      <c r="K127" t="s">
        <v>1065</v>
      </c>
      <c r="L127">
        <v>14982</v>
      </c>
    </row>
    <row r="128" spans="1:12" x14ac:dyDescent="0.3">
      <c r="A128" t="s">
        <v>149</v>
      </c>
      <c r="B128" t="s">
        <v>1069</v>
      </c>
      <c r="C128" t="s">
        <v>16</v>
      </c>
      <c r="D128" t="s">
        <v>34</v>
      </c>
      <c r="E128" t="s">
        <v>13</v>
      </c>
      <c r="F128">
        <v>34245</v>
      </c>
      <c r="G128">
        <v>224286</v>
      </c>
      <c r="H128">
        <v>2100</v>
      </c>
      <c r="I128" t="s">
        <v>18</v>
      </c>
      <c r="J128" s="1">
        <v>44881</v>
      </c>
      <c r="K128" t="s">
        <v>1065</v>
      </c>
      <c r="L128">
        <v>5985</v>
      </c>
    </row>
    <row r="129" spans="1:12" x14ac:dyDescent="0.3">
      <c r="A129" t="s">
        <v>150</v>
      </c>
      <c r="B129" t="s">
        <v>1078</v>
      </c>
      <c r="C129" t="s">
        <v>20</v>
      </c>
      <c r="D129" t="s">
        <v>27</v>
      </c>
      <c r="E129" t="s">
        <v>13</v>
      </c>
      <c r="F129">
        <v>34566</v>
      </c>
      <c r="G129">
        <v>142297</v>
      </c>
      <c r="H129">
        <v>5359</v>
      </c>
      <c r="I129" t="s">
        <v>14</v>
      </c>
      <c r="J129" s="1">
        <v>43433</v>
      </c>
      <c r="K129" t="s">
        <v>1064</v>
      </c>
      <c r="L129">
        <v>1516</v>
      </c>
    </row>
    <row r="130" spans="1:12" x14ac:dyDescent="0.3">
      <c r="A130" t="s">
        <v>151</v>
      </c>
      <c r="B130" t="s">
        <v>1069</v>
      </c>
      <c r="C130" t="s">
        <v>16</v>
      </c>
      <c r="D130" t="s">
        <v>34</v>
      </c>
      <c r="E130" t="s">
        <v>13</v>
      </c>
      <c r="F130">
        <v>41491</v>
      </c>
      <c r="G130">
        <v>141480</v>
      </c>
      <c r="H130">
        <v>6114</v>
      </c>
      <c r="I130" t="s">
        <v>14</v>
      </c>
      <c r="J130" s="1">
        <v>45360</v>
      </c>
      <c r="K130" t="s">
        <v>1063</v>
      </c>
      <c r="L130">
        <v>18236</v>
      </c>
    </row>
    <row r="131" spans="1:12" x14ac:dyDescent="0.3">
      <c r="A131" t="s">
        <v>152</v>
      </c>
      <c r="B131" t="s">
        <v>1081</v>
      </c>
      <c r="C131" t="s">
        <v>20</v>
      </c>
      <c r="D131" t="s">
        <v>12</v>
      </c>
      <c r="E131" t="s">
        <v>25</v>
      </c>
      <c r="F131">
        <v>54462</v>
      </c>
      <c r="G131">
        <v>106907</v>
      </c>
      <c r="H131">
        <v>5206</v>
      </c>
      <c r="I131" t="s">
        <v>18</v>
      </c>
      <c r="J131" s="1">
        <v>45291</v>
      </c>
      <c r="K131" t="s">
        <v>1065</v>
      </c>
      <c r="L131">
        <v>13812</v>
      </c>
    </row>
    <row r="132" spans="1:12" x14ac:dyDescent="0.3">
      <c r="A132" t="s">
        <v>153</v>
      </c>
      <c r="B132" t="s">
        <v>1070</v>
      </c>
      <c r="C132" t="s">
        <v>16</v>
      </c>
      <c r="D132" t="s">
        <v>21</v>
      </c>
      <c r="E132" t="s">
        <v>13</v>
      </c>
      <c r="F132">
        <v>51178</v>
      </c>
      <c r="G132">
        <v>236493</v>
      </c>
      <c r="H132">
        <v>6889</v>
      </c>
      <c r="I132" t="s">
        <v>18</v>
      </c>
      <c r="J132" s="1">
        <v>44545</v>
      </c>
      <c r="K132" t="s">
        <v>1065</v>
      </c>
      <c r="L132">
        <v>14144</v>
      </c>
    </row>
    <row r="133" spans="1:12" x14ac:dyDescent="0.3">
      <c r="A133" t="s">
        <v>154</v>
      </c>
      <c r="B133" t="s">
        <v>1071</v>
      </c>
      <c r="C133" t="s">
        <v>16</v>
      </c>
      <c r="D133" t="s">
        <v>12</v>
      </c>
      <c r="E133" t="s">
        <v>25</v>
      </c>
      <c r="F133">
        <v>29252</v>
      </c>
      <c r="G133">
        <v>201624</v>
      </c>
      <c r="H133">
        <v>2682</v>
      </c>
      <c r="I133" t="s">
        <v>18</v>
      </c>
      <c r="J133" s="1">
        <v>43160</v>
      </c>
      <c r="K133" t="s">
        <v>1065</v>
      </c>
      <c r="L133">
        <v>11186</v>
      </c>
    </row>
    <row r="134" spans="1:12" x14ac:dyDescent="0.3">
      <c r="A134" t="s">
        <v>155</v>
      </c>
      <c r="B134" t="s">
        <v>1080</v>
      </c>
      <c r="C134" t="s">
        <v>20</v>
      </c>
      <c r="D134" t="s">
        <v>21</v>
      </c>
      <c r="E134" t="s">
        <v>13</v>
      </c>
      <c r="F134">
        <v>43979</v>
      </c>
      <c r="G134">
        <v>168470</v>
      </c>
      <c r="H134">
        <v>5986</v>
      </c>
      <c r="I134" t="s">
        <v>14</v>
      </c>
      <c r="J134" s="1">
        <v>43620</v>
      </c>
      <c r="K134" t="s">
        <v>1065</v>
      </c>
      <c r="L134">
        <v>7847</v>
      </c>
    </row>
    <row r="135" spans="1:12" x14ac:dyDescent="0.3">
      <c r="A135" t="s">
        <v>156</v>
      </c>
      <c r="B135" t="s">
        <v>1072</v>
      </c>
      <c r="C135" t="s">
        <v>16</v>
      </c>
      <c r="D135" t="s">
        <v>17</v>
      </c>
      <c r="E135" t="s">
        <v>13</v>
      </c>
      <c r="F135">
        <v>55361</v>
      </c>
      <c r="G135">
        <v>138652</v>
      </c>
      <c r="H135">
        <v>2166</v>
      </c>
      <c r="I135" t="s">
        <v>14</v>
      </c>
      <c r="J135" s="1">
        <v>44883</v>
      </c>
      <c r="K135" t="s">
        <v>1064</v>
      </c>
      <c r="L135">
        <v>1231</v>
      </c>
    </row>
    <row r="136" spans="1:12" x14ac:dyDescent="0.3">
      <c r="A136" t="s">
        <v>157</v>
      </c>
      <c r="B136" t="s">
        <v>1073</v>
      </c>
      <c r="C136" t="s">
        <v>11</v>
      </c>
      <c r="D136" t="s">
        <v>27</v>
      </c>
      <c r="E136" t="s">
        <v>25</v>
      </c>
      <c r="F136">
        <v>39525</v>
      </c>
      <c r="G136">
        <v>212525</v>
      </c>
      <c r="H136">
        <v>3506</v>
      </c>
      <c r="I136" t="s">
        <v>18</v>
      </c>
      <c r="J136" s="1">
        <v>43658</v>
      </c>
      <c r="K136" t="s">
        <v>1064</v>
      </c>
      <c r="L136">
        <v>14192</v>
      </c>
    </row>
    <row r="137" spans="1:12" x14ac:dyDescent="0.3">
      <c r="A137" t="s">
        <v>158</v>
      </c>
      <c r="B137" t="s">
        <v>1076</v>
      </c>
      <c r="C137" t="s">
        <v>11</v>
      </c>
      <c r="D137" t="s">
        <v>12</v>
      </c>
      <c r="E137" t="s">
        <v>25</v>
      </c>
      <c r="F137">
        <v>34295</v>
      </c>
      <c r="G137">
        <v>116674</v>
      </c>
      <c r="H137">
        <v>1726</v>
      </c>
      <c r="I137" t="s">
        <v>14</v>
      </c>
      <c r="J137" s="1">
        <v>43300</v>
      </c>
      <c r="K137" t="s">
        <v>1064</v>
      </c>
      <c r="L137">
        <v>13775</v>
      </c>
    </row>
    <row r="138" spans="1:12" x14ac:dyDescent="0.3">
      <c r="A138" t="s">
        <v>159</v>
      </c>
      <c r="B138" t="s">
        <v>1071</v>
      </c>
      <c r="C138" t="s">
        <v>16</v>
      </c>
      <c r="D138" t="s">
        <v>12</v>
      </c>
      <c r="E138" t="s">
        <v>23</v>
      </c>
      <c r="F138">
        <v>27898</v>
      </c>
      <c r="G138">
        <v>128895</v>
      </c>
      <c r="H138">
        <v>1772</v>
      </c>
      <c r="I138" t="s">
        <v>18</v>
      </c>
      <c r="J138" s="1">
        <v>43830</v>
      </c>
      <c r="K138" t="s">
        <v>1064</v>
      </c>
      <c r="L138">
        <v>19301</v>
      </c>
    </row>
    <row r="139" spans="1:12" x14ac:dyDescent="0.3">
      <c r="A139" t="s">
        <v>160</v>
      </c>
      <c r="B139" t="s">
        <v>1070</v>
      </c>
      <c r="C139" t="s">
        <v>16</v>
      </c>
      <c r="D139" t="s">
        <v>21</v>
      </c>
      <c r="E139" t="s">
        <v>25</v>
      </c>
      <c r="F139">
        <v>29690</v>
      </c>
      <c r="G139">
        <v>236522</v>
      </c>
      <c r="H139">
        <v>3735</v>
      </c>
      <c r="I139" t="s">
        <v>18</v>
      </c>
      <c r="J139" s="1">
        <v>44305</v>
      </c>
      <c r="K139" t="s">
        <v>1067</v>
      </c>
      <c r="L139">
        <v>6550</v>
      </c>
    </row>
    <row r="140" spans="1:12" x14ac:dyDescent="0.3">
      <c r="A140" t="s">
        <v>161</v>
      </c>
      <c r="B140" t="s">
        <v>1069</v>
      </c>
      <c r="C140" t="s">
        <v>16</v>
      </c>
      <c r="D140" t="s">
        <v>34</v>
      </c>
      <c r="E140" t="s">
        <v>13</v>
      </c>
      <c r="F140">
        <v>56418</v>
      </c>
      <c r="G140">
        <v>90215</v>
      </c>
      <c r="H140">
        <v>4103</v>
      </c>
      <c r="I140" t="s">
        <v>18</v>
      </c>
      <c r="J140" s="1">
        <v>43136</v>
      </c>
      <c r="K140" t="s">
        <v>1065</v>
      </c>
      <c r="L140">
        <v>1791</v>
      </c>
    </row>
    <row r="141" spans="1:12" x14ac:dyDescent="0.3">
      <c r="A141" t="s">
        <v>162</v>
      </c>
      <c r="B141" t="s">
        <v>1072</v>
      </c>
      <c r="C141" t="s">
        <v>16</v>
      </c>
      <c r="D141" t="s">
        <v>17</v>
      </c>
      <c r="E141" t="s">
        <v>25</v>
      </c>
      <c r="F141">
        <v>47570</v>
      </c>
      <c r="G141">
        <v>213749</v>
      </c>
      <c r="H141">
        <v>2519</v>
      </c>
      <c r="I141" t="s">
        <v>18</v>
      </c>
      <c r="J141" s="1">
        <v>43159</v>
      </c>
      <c r="K141" t="s">
        <v>1063</v>
      </c>
      <c r="L141">
        <v>13693</v>
      </c>
    </row>
    <row r="142" spans="1:12" x14ac:dyDescent="0.3">
      <c r="A142" t="s">
        <v>163</v>
      </c>
      <c r="B142" t="s">
        <v>1079</v>
      </c>
      <c r="C142" t="s">
        <v>20</v>
      </c>
      <c r="D142" t="s">
        <v>34</v>
      </c>
      <c r="E142" t="s">
        <v>25</v>
      </c>
      <c r="F142">
        <v>20684</v>
      </c>
      <c r="G142">
        <v>88126</v>
      </c>
      <c r="H142">
        <v>2942</v>
      </c>
      <c r="I142" t="s">
        <v>14</v>
      </c>
      <c r="J142" s="1">
        <v>45029</v>
      </c>
      <c r="K142" t="s">
        <v>1065</v>
      </c>
      <c r="L142">
        <v>10270</v>
      </c>
    </row>
    <row r="143" spans="1:12" x14ac:dyDescent="0.3">
      <c r="A143" t="s">
        <v>164</v>
      </c>
      <c r="B143" t="s">
        <v>1075</v>
      </c>
      <c r="C143" t="s">
        <v>11</v>
      </c>
      <c r="D143" t="s">
        <v>21</v>
      </c>
      <c r="E143" t="s">
        <v>25</v>
      </c>
      <c r="F143">
        <v>32971</v>
      </c>
      <c r="G143">
        <v>80605</v>
      </c>
      <c r="H143">
        <v>3183</v>
      </c>
      <c r="I143" t="s">
        <v>14</v>
      </c>
      <c r="J143" s="1">
        <v>44142</v>
      </c>
      <c r="K143" t="s">
        <v>1067</v>
      </c>
      <c r="L143">
        <v>3996</v>
      </c>
    </row>
    <row r="144" spans="1:12" x14ac:dyDescent="0.3">
      <c r="A144" t="s">
        <v>165</v>
      </c>
      <c r="B144" t="s">
        <v>1073</v>
      </c>
      <c r="C144" t="s">
        <v>11</v>
      </c>
      <c r="D144" t="s">
        <v>27</v>
      </c>
      <c r="E144" t="s">
        <v>25</v>
      </c>
      <c r="F144">
        <v>15640</v>
      </c>
      <c r="G144">
        <v>195694</v>
      </c>
      <c r="H144">
        <v>6687</v>
      </c>
      <c r="I144" t="s">
        <v>18</v>
      </c>
      <c r="J144" s="1">
        <v>44809</v>
      </c>
      <c r="K144" t="s">
        <v>1064</v>
      </c>
      <c r="L144">
        <v>9933</v>
      </c>
    </row>
    <row r="145" spans="1:12" x14ac:dyDescent="0.3">
      <c r="A145" t="s">
        <v>166</v>
      </c>
      <c r="B145" t="s">
        <v>1080</v>
      </c>
      <c r="C145" t="s">
        <v>20</v>
      </c>
      <c r="D145" t="s">
        <v>21</v>
      </c>
      <c r="E145" t="s">
        <v>25</v>
      </c>
      <c r="F145">
        <v>43647</v>
      </c>
      <c r="G145">
        <v>212053</v>
      </c>
      <c r="H145">
        <v>4206</v>
      </c>
      <c r="I145" t="s">
        <v>14</v>
      </c>
      <c r="J145" s="1">
        <v>45500</v>
      </c>
      <c r="K145" t="s">
        <v>1067</v>
      </c>
      <c r="L145">
        <v>9671</v>
      </c>
    </row>
    <row r="146" spans="1:12" x14ac:dyDescent="0.3">
      <c r="A146" t="s">
        <v>167</v>
      </c>
      <c r="B146" t="s">
        <v>1077</v>
      </c>
      <c r="C146" t="s">
        <v>11</v>
      </c>
      <c r="D146" t="s">
        <v>17</v>
      </c>
      <c r="E146" t="s">
        <v>23</v>
      </c>
      <c r="F146">
        <v>50735</v>
      </c>
      <c r="G146">
        <v>157882</v>
      </c>
      <c r="H146">
        <v>3729</v>
      </c>
      <c r="I146" t="s">
        <v>18</v>
      </c>
      <c r="J146" s="1">
        <v>45033</v>
      </c>
      <c r="K146" t="s">
        <v>1063</v>
      </c>
      <c r="L146">
        <v>6908</v>
      </c>
    </row>
    <row r="147" spans="1:12" x14ac:dyDescent="0.3">
      <c r="A147" t="s">
        <v>168</v>
      </c>
      <c r="B147" t="s">
        <v>1078</v>
      </c>
      <c r="C147" t="s">
        <v>20</v>
      </c>
      <c r="D147" t="s">
        <v>27</v>
      </c>
      <c r="E147" t="s">
        <v>23</v>
      </c>
      <c r="F147">
        <v>44101</v>
      </c>
      <c r="G147">
        <v>87524</v>
      </c>
      <c r="H147">
        <v>3137</v>
      </c>
      <c r="I147" t="s">
        <v>18</v>
      </c>
      <c r="J147" s="1">
        <v>43942</v>
      </c>
      <c r="K147" t="s">
        <v>1063</v>
      </c>
      <c r="L147">
        <v>8869</v>
      </c>
    </row>
    <row r="148" spans="1:12" x14ac:dyDescent="0.3">
      <c r="A148" t="s">
        <v>169</v>
      </c>
      <c r="B148" t="s">
        <v>1074</v>
      </c>
      <c r="C148" t="s">
        <v>11</v>
      </c>
      <c r="D148" t="s">
        <v>34</v>
      </c>
      <c r="E148" t="s">
        <v>25</v>
      </c>
      <c r="F148">
        <v>53431</v>
      </c>
      <c r="G148">
        <v>127218</v>
      </c>
      <c r="H148">
        <v>4128</v>
      </c>
      <c r="I148" t="s">
        <v>18</v>
      </c>
      <c r="J148" s="1">
        <v>43542</v>
      </c>
      <c r="K148" t="s">
        <v>1064</v>
      </c>
      <c r="L148">
        <v>15032</v>
      </c>
    </row>
    <row r="149" spans="1:12" x14ac:dyDescent="0.3">
      <c r="A149" t="s">
        <v>170</v>
      </c>
      <c r="B149" t="s">
        <v>1075</v>
      </c>
      <c r="C149" t="s">
        <v>11</v>
      </c>
      <c r="D149" t="s">
        <v>21</v>
      </c>
      <c r="E149" t="s">
        <v>13</v>
      </c>
      <c r="F149">
        <v>23506</v>
      </c>
      <c r="G149">
        <v>104151</v>
      </c>
      <c r="H149">
        <v>6618</v>
      </c>
      <c r="I149" t="s">
        <v>18</v>
      </c>
      <c r="J149" s="1">
        <v>45545</v>
      </c>
      <c r="K149" t="s">
        <v>1064</v>
      </c>
      <c r="L149">
        <v>16739</v>
      </c>
    </row>
    <row r="150" spans="1:12" x14ac:dyDescent="0.3">
      <c r="A150" t="s">
        <v>171</v>
      </c>
      <c r="B150" t="s">
        <v>1080</v>
      </c>
      <c r="C150" t="s">
        <v>20</v>
      </c>
      <c r="D150" t="s">
        <v>21</v>
      </c>
      <c r="E150" t="s">
        <v>25</v>
      </c>
      <c r="F150">
        <v>27467</v>
      </c>
      <c r="G150">
        <v>187614</v>
      </c>
      <c r="H150">
        <v>3197</v>
      </c>
      <c r="I150" t="s">
        <v>18</v>
      </c>
      <c r="J150" s="1">
        <v>44762</v>
      </c>
      <c r="K150" t="s">
        <v>1066</v>
      </c>
      <c r="L150">
        <v>8853</v>
      </c>
    </row>
    <row r="151" spans="1:12" x14ac:dyDescent="0.3">
      <c r="A151" t="s">
        <v>172</v>
      </c>
      <c r="B151" t="s">
        <v>1075</v>
      </c>
      <c r="C151" t="s">
        <v>11</v>
      </c>
      <c r="D151" t="s">
        <v>21</v>
      </c>
      <c r="E151" t="s">
        <v>25</v>
      </c>
      <c r="F151">
        <v>53367</v>
      </c>
      <c r="G151">
        <v>151200</v>
      </c>
      <c r="H151">
        <v>6937</v>
      </c>
      <c r="I151" t="s">
        <v>14</v>
      </c>
      <c r="J151" s="1">
        <v>44010</v>
      </c>
      <c r="K151" t="s">
        <v>1065</v>
      </c>
      <c r="L151">
        <v>9774</v>
      </c>
    </row>
    <row r="152" spans="1:12" x14ac:dyDescent="0.3">
      <c r="A152" t="s">
        <v>173</v>
      </c>
      <c r="B152" t="s">
        <v>1081</v>
      </c>
      <c r="C152" t="s">
        <v>20</v>
      </c>
      <c r="D152" t="s">
        <v>12</v>
      </c>
      <c r="E152" t="s">
        <v>25</v>
      </c>
      <c r="F152">
        <v>25466</v>
      </c>
      <c r="G152">
        <v>95925</v>
      </c>
      <c r="H152">
        <v>2063</v>
      </c>
      <c r="I152" t="s">
        <v>18</v>
      </c>
      <c r="J152" s="1">
        <v>43515</v>
      </c>
      <c r="K152" t="s">
        <v>1063</v>
      </c>
      <c r="L152">
        <v>15365</v>
      </c>
    </row>
    <row r="153" spans="1:12" x14ac:dyDescent="0.3">
      <c r="A153" t="s">
        <v>174</v>
      </c>
      <c r="B153" t="s">
        <v>1078</v>
      </c>
      <c r="C153" t="s">
        <v>20</v>
      </c>
      <c r="D153" t="s">
        <v>27</v>
      </c>
      <c r="E153" t="s">
        <v>23</v>
      </c>
      <c r="F153">
        <v>45356</v>
      </c>
      <c r="G153">
        <v>173076</v>
      </c>
      <c r="H153">
        <v>5224</v>
      </c>
      <c r="I153" t="s">
        <v>14</v>
      </c>
      <c r="J153" s="1">
        <v>43310</v>
      </c>
      <c r="K153" t="s">
        <v>1064</v>
      </c>
      <c r="L153">
        <v>2590</v>
      </c>
    </row>
    <row r="154" spans="1:12" x14ac:dyDescent="0.3">
      <c r="A154" t="s">
        <v>175</v>
      </c>
      <c r="B154" t="s">
        <v>1074</v>
      </c>
      <c r="C154" t="s">
        <v>11</v>
      </c>
      <c r="D154" t="s">
        <v>34</v>
      </c>
      <c r="E154" t="s">
        <v>25</v>
      </c>
      <c r="F154">
        <v>34592</v>
      </c>
      <c r="G154">
        <v>231836</v>
      </c>
      <c r="H154">
        <v>5072</v>
      </c>
      <c r="I154" t="s">
        <v>14</v>
      </c>
      <c r="J154" s="1">
        <v>44752</v>
      </c>
      <c r="K154" t="s">
        <v>1063</v>
      </c>
      <c r="L154">
        <v>12600</v>
      </c>
    </row>
    <row r="155" spans="1:12" x14ac:dyDescent="0.3">
      <c r="A155" t="s">
        <v>176</v>
      </c>
      <c r="B155" t="s">
        <v>1069</v>
      </c>
      <c r="C155" t="s">
        <v>16</v>
      </c>
      <c r="D155" t="s">
        <v>34</v>
      </c>
      <c r="E155" t="s">
        <v>23</v>
      </c>
      <c r="F155">
        <v>30611</v>
      </c>
      <c r="G155">
        <v>205560</v>
      </c>
      <c r="H155">
        <v>4435</v>
      </c>
      <c r="I155" t="s">
        <v>18</v>
      </c>
      <c r="J155" s="1">
        <v>45358</v>
      </c>
      <c r="K155" t="s">
        <v>1065</v>
      </c>
      <c r="L155">
        <v>14411</v>
      </c>
    </row>
    <row r="156" spans="1:12" x14ac:dyDescent="0.3">
      <c r="A156" t="s">
        <v>177</v>
      </c>
      <c r="B156" t="s">
        <v>1070</v>
      </c>
      <c r="C156" t="s">
        <v>16</v>
      </c>
      <c r="D156" t="s">
        <v>21</v>
      </c>
      <c r="E156" t="s">
        <v>13</v>
      </c>
      <c r="F156">
        <v>33593</v>
      </c>
      <c r="G156">
        <v>208185</v>
      </c>
      <c r="H156">
        <v>4793</v>
      </c>
      <c r="I156" t="s">
        <v>18</v>
      </c>
      <c r="J156" s="1">
        <v>43921</v>
      </c>
      <c r="K156" t="s">
        <v>1066</v>
      </c>
      <c r="L156">
        <v>2879</v>
      </c>
    </row>
    <row r="157" spans="1:12" x14ac:dyDescent="0.3">
      <c r="A157" t="s">
        <v>178</v>
      </c>
      <c r="B157" t="s">
        <v>1078</v>
      </c>
      <c r="C157" t="s">
        <v>20</v>
      </c>
      <c r="D157" t="s">
        <v>27</v>
      </c>
      <c r="E157" t="s">
        <v>23</v>
      </c>
      <c r="F157">
        <v>38922</v>
      </c>
      <c r="G157">
        <v>127590</v>
      </c>
      <c r="H157">
        <v>2847</v>
      </c>
      <c r="I157" t="s">
        <v>14</v>
      </c>
      <c r="J157" s="1">
        <v>44510</v>
      </c>
      <c r="K157" t="s">
        <v>1063</v>
      </c>
      <c r="L157">
        <v>11161</v>
      </c>
    </row>
    <row r="158" spans="1:12" x14ac:dyDescent="0.3">
      <c r="A158" t="s">
        <v>179</v>
      </c>
      <c r="B158" t="s">
        <v>1079</v>
      </c>
      <c r="C158" t="s">
        <v>20</v>
      </c>
      <c r="D158" t="s">
        <v>34</v>
      </c>
      <c r="E158" t="s">
        <v>25</v>
      </c>
      <c r="F158">
        <v>23487</v>
      </c>
      <c r="G158">
        <v>198444</v>
      </c>
      <c r="H158">
        <v>4725</v>
      </c>
      <c r="I158" t="s">
        <v>14</v>
      </c>
      <c r="J158" s="1">
        <v>44985</v>
      </c>
      <c r="K158" t="s">
        <v>1067</v>
      </c>
      <c r="L158">
        <v>2187</v>
      </c>
    </row>
    <row r="159" spans="1:12" x14ac:dyDescent="0.3">
      <c r="A159" t="s">
        <v>180</v>
      </c>
      <c r="B159" t="s">
        <v>1081</v>
      </c>
      <c r="C159" t="s">
        <v>20</v>
      </c>
      <c r="D159" t="s">
        <v>12</v>
      </c>
      <c r="E159" t="s">
        <v>25</v>
      </c>
      <c r="F159">
        <v>17716</v>
      </c>
      <c r="G159">
        <v>80986</v>
      </c>
      <c r="H159">
        <v>3778</v>
      </c>
      <c r="I159" t="s">
        <v>14</v>
      </c>
      <c r="J159" s="1">
        <v>43752</v>
      </c>
      <c r="K159" t="s">
        <v>1067</v>
      </c>
      <c r="L159">
        <v>8143</v>
      </c>
    </row>
    <row r="160" spans="1:12" x14ac:dyDescent="0.3">
      <c r="A160" t="s">
        <v>181</v>
      </c>
      <c r="B160" t="s">
        <v>1073</v>
      </c>
      <c r="C160" t="s">
        <v>11</v>
      </c>
      <c r="D160" t="s">
        <v>27</v>
      </c>
      <c r="E160" t="s">
        <v>25</v>
      </c>
      <c r="F160">
        <v>40659</v>
      </c>
      <c r="G160">
        <v>188055</v>
      </c>
      <c r="H160">
        <v>4329</v>
      </c>
      <c r="I160" t="s">
        <v>18</v>
      </c>
      <c r="J160" s="1">
        <v>43720</v>
      </c>
      <c r="K160" t="s">
        <v>1065</v>
      </c>
      <c r="L160">
        <v>17754</v>
      </c>
    </row>
    <row r="161" spans="1:12" x14ac:dyDescent="0.3">
      <c r="A161" t="s">
        <v>182</v>
      </c>
      <c r="B161" t="s">
        <v>1072</v>
      </c>
      <c r="C161" t="s">
        <v>16</v>
      </c>
      <c r="D161" t="s">
        <v>17</v>
      </c>
      <c r="E161" t="s">
        <v>13</v>
      </c>
      <c r="F161">
        <v>57130</v>
      </c>
      <c r="G161">
        <v>123990</v>
      </c>
      <c r="H161">
        <v>3012</v>
      </c>
      <c r="I161" t="s">
        <v>18</v>
      </c>
      <c r="J161" s="1">
        <v>43166</v>
      </c>
      <c r="K161" t="s">
        <v>1065</v>
      </c>
      <c r="L161">
        <v>2724</v>
      </c>
    </row>
    <row r="162" spans="1:12" x14ac:dyDescent="0.3">
      <c r="A162" t="s">
        <v>183</v>
      </c>
      <c r="B162" t="s">
        <v>1069</v>
      </c>
      <c r="C162" t="s">
        <v>16</v>
      </c>
      <c r="D162" t="s">
        <v>34</v>
      </c>
      <c r="E162" t="s">
        <v>23</v>
      </c>
      <c r="F162">
        <v>36591</v>
      </c>
      <c r="G162">
        <v>214587</v>
      </c>
      <c r="H162">
        <v>6857</v>
      </c>
      <c r="I162" t="s">
        <v>18</v>
      </c>
      <c r="J162" s="1">
        <v>44978</v>
      </c>
      <c r="K162" t="s">
        <v>1067</v>
      </c>
      <c r="L162">
        <v>3347</v>
      </c>
    </row>
    <row r="163" spans="1:12" x14ac:dyDescent="0.3">
      <c r="A163" t="s">
        <v>184</v>
      </c>
      <c r="B163" t="s">
        <v>1074</v>
      </c>
      <c r="C163" t="s">
        <v>11</v>
      </c>
      <c r="D163" t="s">
        <v>34</v>
      </c>
      <c r="E163" t="s">
        <v>13</v>
      </c>
      <c r="F163">
        <v>47697</v>
      </c>
      <c r="G163">
        <v>133148</v>
      </c>
      <c r="H163">
        <v>2704</v>
      </c>
      <c r="I163" t="s">
        <v>14</v>
      </c>
      <c r="J163" s="1">
        <v>44000</v>
      </c>
      <c r="K163" t="s">
        <v>1064</v>
      </c>
      <c r="L163">
        <v>13038</v>
      </c>
    </row>
    <row r="164" spans="1:12" x14ac:dyDescent="0.3">
      <c r="A164" t="s">
        <v>185</v>
      </c>
      <c r="B164" t="s">
        <v>1072</v>
      </c>
      <c r="C164" t="s">
        <v>16</v>
      </c>
      <c r="D164" t="s">
        <v>17</v>
      </c>
      <c r="E164" t="s">
        <v>25</v>
      </c>
      <c r="F164">
        <v>39923</v>
      </c>
      <c r="G164">
        <v>237685</v>
      </c>
      <c r="H164">
        <v>2903</v>
      </c>
      <c r="I164" t="s">
        <v>14</v>
      </c>
      <c r="J164" s="1">
        <v>44887</v>
      </c>
      <c r="K164" t="s">
        <v>1067</v>
      </c>
      <c r="L164">
        <v>3707</v>
      </c>
    </row>
    <row r="165" spans="1:12" x14ac:dyDescent="0.3">
      <c r="A165" t="s">
        <v>186</v>
      </c>
      <c r="B165" t="s">
        <v>1075</v>
      </c>
      <c r="C165" t="s">
        <v>11</v>
      </c>
      <c r="D165" t="s">
        <v>21</v>
      </c>
      <c r="E165" t="s">
        <v>23</v>
      </c>
      <c r="F165">
        <v>50020</v>
      </c>
      <c r="G165">
        <v>193469</v>
      </c>
      <c r="H165">
        <v>3836</v>
      </c>
      <c r="I165" t="s">
        <v>18</v>
      </c>
      <c r="J165" s="1">
        <v>45111</v>
      </c>
      <c r="K165" t="s">
        <v>1065</v>
      </c>
      <c r="L165">
        <v>16756</v>
      </c>
    </row>
    <row r="166" spans="1:12" x14ac:dyDescent="0.3">
      <c r="A166" t="s">
        <v>187</v>
      </c>
      <c r="B166" t="s">
        <v>1078</v>
      </c>
      <c r="C166" t="s">
        <v>20</v>
      </c>
      <c r="D166" t="s">
        <v>27</v>
      </c>
      <c r="E166" t="s">
        <v>13</v>
      </c>
      <c r="F166">
        <v>31694</v>
      </c>
      <c r="G166">
        <v>123870</v>
      </c>
      <c r="H166">
        <v>4085</v>
      </c>
      <c r="I166" t="s">
        <v>14</v>
      </c>
      <c r="J166" s="1">
        <v>45388</v>
      </c>
      <c r="K166" t="s">
        <v>1065</v>
      </c>
      <c r="L166">
        <v>14028</v>
      </c>
    </row>
    <row r="167" spans="1:12" x14ac:dyDescent="0.3">
      <c r="A167" t="s">
        <v>188</v>
      </c>
      <c r="B167" t="s">
        <v>1073</v>
      </c>
      <c r="C167" t="s">
        <v>11</v>
      </c>
      <c r="D167" t="s">
        <v>27</v>
      </c>
      <c r="E167" t="s">
        <v>23</v>
      </c>
      <c r="F167">
        <v>48346</v>
      </c>
      <c r="G167">
        <v>198634</v>
      </c>
      <c r="H167">
        <v>3040</v>
      </c>
      <c r="I167" t="s">
        <v>18</v>
      </c>
      <c r="J167" s="1">
        <v>44605</v>
      </c>
      <c r="K167" t="s">
        <v>1064</v>
      </c>
      <c r="L167">
        <v>10681</v>
      </c>
    </row>
    <row r="168" spans="1:12" x14ac:dyDescent="0.3">
      <c r="A168" t="s">
        <v>189</v>
      </c>
      <c r="B168" t="s">
        <v>1081</v>
      </c>
      <c r="C168" t="s">
        <v>20</v>
      </c>
      <c r="D168" t="s">
        <v>12</v>
      </c>
      <c r="E168" t="s">
        <v>25</v>
      </c>
      <c r="F168">
        <v>44331</v>
      </c>
      <c r="G168">
        <v>147907</v>
      </c>
      <c r="H168">
        <v>5383</v>
      </c>
      <c r="I168" t="s">
        <v>18</v>
      </c>
      <c r="J168" s="1">
        <v>44178</v>
      </c>
      <c r="K168" t="s">
        <v>1063</v>
      </c>
      <c r="L168">
        <v>13168</v>
      </c>
    </row>
    <row r="169" spans="1:12" x14ac:dyDescent="0.3">
      <c r="A169" t="s">
        <v>190</v>
      </c>
      <c r="B169" t="s">
        <v>1068</v>
      </c>
      <c r="C169" t="s">
        <v>16</v>
      </c>
      <c r="D169" t="s">
        <v>27</v>
      </c>
      <c r="E169" t="s">
        <v>25</v>
      </c>
      <c r="F169">
        <v>58069</v>
      </c>
      <c r="G169">
        <v>214787</v>
      </c>
      <c r="H169">
        <v>2811</v>
      </c>
      <c r="I169" t="s">
        <v>14</v>
      </c>
      <c r="J169" s="1">
        <v>43583</v>
      </c>
      <c r="K169" t="s">
        <v>1066</v>
      </c>
      <c r="L169">
        <v>16762</v>
      </c>
    </row>
    <row r="170" spans="1:12" x14ac:dyDescent="0.3">
      <c r="A170" t="s">
        <v>191</v>
      </c>
      <c r="B170" t="s">
        <v>1070</v>
      </c>
      <c r="C170" t="s">
        <v>16</v>
      </c>
      <c r="D170" t="s">
        <v>21</v>
      </c>
      <c r="E170" t="s">
        <v>13</v>
      </c>
      <c r="F170">
        <v>23452</v>
      </c>
      <c r="G170">
        <v>96642</v>
      </c>
      <c r="H170">
        <v>2718</v>
      </c>
      <c r="I170" t="s">
        <v>18</v>
      </c>
      <c r="J170" s="1">
        <v>45244</v>
      </c>
      <c r="K170" t="s">
        <v>1067</v>
      </c>
      <c r="L170">
        <v>13854</v>
      </c>
    </row>
    <row r="171" spans="1:12" x14ac:dyDescent="0.3">
      <c r="A171" t="s">
        <v>192</v>
      </c>
      <c r="B171" t="s">
        <v>1075</v>
      </c>
      <c r="C171" t="s">
        <v>11</v>
      </c>
      <c r="D171" t="s">
        <v>21</v>
      </c>
      <c r="E171" t="s">
        <v>25</v>
      </c>
      <c r="F171">
        <v>44433</v>
      </c>
      <c r="G171">
        <v>148076</v>
      </c>
      <c r="H171">
        <v>5574</v>
      </c>
      <c r="I171" t="s">
        <v>14</v>
      </c>
      <c r="J171" s="1">
        <v>43603</v>
      </c>
      <c r="K171" t="s">
        <v>1067</v>
      </c>
      <c r="L171">
        <v>17991</v>
      </c>
    </row>
    <row r="172" spans="1:12" x14ac:dyDescent="0.3">
      <c r="A172" t="s">
        <v>193</v>
      </c>
      <c r="B172" t="s">
        <v>1071</v>
      </c>
      <c r="C172" t="s">
        <v>16</v>
      </c>
      <c r="D172" t="s">
        <v>12</v>
      </c>
      <c r="E172" t="s">
        <v>13</v>
      </c>
      <c r="F172">
        <v>29133</v>
      </c>
      <c r="G172">
        <v>148501</v>
      </c>
      <c r="H172">
        <v>4693</v>
      </c>
      <c r="I172" t="s">
        <v>14</v>
      </c>
      <c r="J172" s="1">
        <v>44051</v>
      </c>
      <c r="K172" t="s">
        <v>1064</v>
      </c>
      <c r="L172">
        <v>18324</v>
      </c>
    </row>
    <row r="173" spans="1:12" x14ac:dyDescent="0.3">
      <c r="A173" t="s">
        <v>194</v>
      </c>
      <c r="B173" t="s">
        <v>1079</v>
      </c>
      <c r="C173" t="s">
        <v>20</v>
      </c>
      <c r="D173" t="s">
        <v>34</v>
      </c>
      <c r="E173" t="s">
        <v>13</v>
      </c>
      <c r="F173">
        <v>21508</v>
      </c>
      <c r="G173">
        <v>132805</v>
      </c>
      <c r="H173">
        <v>6978</v>
      </c>
      <c r="I173" t="s">
        <v>18</v>
      </c>
      <c r="J173" s="1">
        <v>44684</v>
      </c>
      <c r="K173" t="s">
        <v>1063</v>
      </c>
      <c r="L173">
        <v>4087</v>
      </c>
    </row>
    <row r="174" spans="1:12" x14ac:dyDescent="0.3">
      <c r="A174" t="s">
        <v>195</v>
      </c>
      <c r="B174" t="s">
        <v>1075</v>
      </c>
      <c r="C174" t="s">
        <v>11</v>
      </c>
      <c r="D174" t="s">
        <v>21</v>
      </c>
      <c r="E174" t="s">
        <v>25</v>
      </c>
      <c r="F174">
        <v>18978</v>
      </c>
      <c r="G174">
        <v>245441</v>
      </c>
      <c r="H174">
        <v>5724</v>
      </c>
      <c r="I174" t="s">
        <v>14</v>
      </c>
      <c r="J174" s="1">
        <v>43709</v>
      </c>
      <c r="K174" t="s">
        <v>1066</v>
      </c>
      <c r="L174">
        <v>17526</v>
      </c>
    </row>
    <row r="175" spans="1:12" x14ac:dyDescent="0.3">
      <c r="A175" t="s">
        <v>196</v>
      </c>
      <c r="B175" t="s">
        <v>1080</v>
      </c>
      <c r="C175" t="s">
        <v>20</v>
      </c>
      <c r="D175" t="s">
        <v>21</v>
      </c>
      <c r="E175" t="s">
        <v>13</v>
      </c>
      <c r="F175">
        <v>45603</v>
      </c>
      <c r="G175">
        <v>61667</v>
      </c>
      <c r="H175">
        <v>6068</v>
      </c>
      <c r="I175" t="s">
        <v>18</v>
      </c>
      <c r="J175" s="1">
        <v>43156</v>
      </c>
      <c r="K175" t="s">
        <v>1067</v>
      </c>
      <c r="L175">
        <v>16970</v>
      </c>
    </row>
    <row r="176" spans="1:12" x14ac:dyDescent="0.3">
      <c r="A176" t="s">
        <v>197</v>
      </c>
      <c r="B176" t="s">
        <v>1071</v>
      </c>
      <c r="C176" t="s">
        <v>16</v>
      </c>
      <c r="D176" t="s">
        <v>12</v>
      </c>
      <c r="E176" t="s">
        <v>25</v>
      </c>
      <c r="F176">
        <v>19164</v>
      </c>
      <c r="G176">
        <v>245417</v>
      </c>
      <c r="H176">
        <v>6546</v>
      </c>
      <c r="I176" t="s">
        <v>18</v>
      </c>
      <c r="J176" s="1">
        <v>43328</v>
      </c>
      <c r="K176" t="s">
        <v>1064</v>
      </c>
      <c r="L176">
        <v>5121</v>
      </c>
    </row>
    <row r="177" spans="1:12" x14ac:dyDescent="0.3">
      <c r="A177" t="s">
        <v>198</v>
      </c>
      <c r="B177" t="s">
        <v>1076</v>
      </c>
      <c r="C177" t="s">
        <v>11</v>
      </c>
      <c r="D177" t="s">
        <v>12</v>
      </c>
      <c r="E177" t="s">
        <v>23</v>
      </c>
      <c r="F177">
        <v>59085</v>
      </c>
      <c r="G177">
        <v>82224</v>
      </c>
      <c r="H177">
        <v>4296</v>
      </c>
      <c r="I177" t="s">
        <v>18</v>
      </c>
      <c r="J177" s="1">
        <v>43392</v>
      </c>
      <c r="K177" t="s">
        <v>1064</v>
      </c>
      <c r="L177">
        <v>13792</v>
      </c>
    </row>
    <row r="178" spans="1:12" x14ac:dyDescent="0.3">
      <c r="A178" t="s">
        <v>199</v>
      </c>
      <c r="B178" t="s">
        <v>1071</v>
      </c>
      <c r="C178" t="s">
        <v>16</v>
      </c>
      <c r="D178" t="s">
        <v>12</v>
      </c>
      <c r="E178" t="s">
        <v>13</v>
      </c>
      <c r="F178">
        <v>40075</v>
      </c>
      <c r="G178">
        <v>103039</v>
      </c>
      <c r="H178">
        <v>2125</v>
      </c>
      <c r="I178" t="s">
        <v>18</v>
      </c>
      <c r="J178" s="1">
        <v>43759</v>
      </c>
      <c r="K178" t="s">
        <v>1066</v>
      </c>
      <c r="L178">
        <v>7894</v>
      </c>
    </row>
    <row r="179" spans="1:12" x14ac:dyDescent="0.3">
      <c r="A179" t="s">
        <v>200</v>
      </c>
      <c r="B179" t="s">
        <v>1081</v>
      </c>
      <c r="C179" t="s">
        <v>20</v>
      </c>
      <c r="D179" t="s">
        <v>12</v>
      </c>
      <c r="E179" t="s">
        <v>13</v>
      </c>
      <c r="F179">
        <v>53796</v>
      </c>
      <c r="G179">
        <v>166562</v>
      </c>
      <c r="H179">
        <v>3876</v>
      </c>
      <c r="I179" t="s">
        <v>14</v>
      </c>
      <c r="J179" s="1">
        <v>44569</v>
      </c>
      <c r="K179" t="s">
        <v>1067</v>
      </c>
      <c r="L179">
        <v>12564</v>
      </c>
    </row>
    <row r="180" spans="1:12" x14ac:dyDescent="0.3">
      <c r="A180" t="s">
        <v>201</v>
      </c>
      <c r="B180" t="s">
        <v>1070</v>
      </c>
      <c r="C180" t="s">
        <v>16</v>
      </c>
      <c r="D180" t="s">
        <v>21</v>
      </c>
      <c r="E180" t="s">
        <v>13</v>
      </c>
      <c r="F180">
        <v>37211</v>
      </c>
      <c r="G180">
        <v>123468</v>
      </c>
      <c r="H180">
        <v>5325</v>
      </c>
      <c r="I180" t="s">
        <v>14</v>
      </c>
      <c r="J180" s="1">
        <v>44570</v>
      </c>
      <c r="K180" t="s">
        <v>1064</v>
      </c>
      <c r="L180">
        <v>6983</v>
      </c>
    </row>
    <row r="181" spans="1:12" x14ac:dyDescent="0.3">
      <c r="A181" t="s">
        <v>202</v>
      </c>
      <c r="B181" t="s">
        <v>1078</v>
      </c>
      <c r="C181" t="s">
        <v>20</v>
      </c>
      <c r="D181" t="s">
        <v>27</v>
      </c>
      <c r="E181" t="s">
        <v>13</v>
      </c>
      <c r="F181">
        <v>16620</v>
      </c>
      <c r="G181">
        <v>142238</v>
      </c>
      <c r="H181">
        <v>1965</v>
      </c>
      <c r="I181" t="s">
        <v>14</v>
      </c>
      <c r="J181" s="1">
        <v>43327</v>
      </c>
      <c r="K181" t="s">
        <v>1066</v>
      </c>
      <c r="L181">
        <v>17662</v>
      </c>
    </row>
    <row r="182" spans="1:12" x14ac:dyDescent="0.3">
      <c r="A182" t="s">
        <v>203</v>
      </c>
      <c r="B182" t="s">
        <v>1074</v>
      </c>
      <c r="C182" t="s">
        <v>11</v>
      </c>
      <c r="D182" t="s">
        <v>34</v>
      </c>
      <c r="E182" t="s">
        <v>25</v>
      </c>
      <c r="F182">
        <v>33033</v>
      </c>
      <c r="G182">
        <v>154263</v>
      </c>
      <c r="H182">
        <v>1700</v>
      </c>
      <c r="I182" t="s">
        <v>18</v>
      </c>
      <c r="J182" s="1">
        <v>43586</v>
      </c>
      <c r="K182" t="s">
        <v>1065</v>
      </c>
      <c r="L182">
        <v>18348</v>
      </c>
    </row>
    <row r="183" spans="1:12" x14ac:dyDescent="0.3">
      <c r="A183" t="s">
        <v>204</v>
      </c>
      <c r="B183" t="s">
        <v>1071</v>
      </c>
      <c r="C183" t="s">
        <v>16</v>
      </c>
      <c r="D183" t="s">
        <v>12</v>
      </c>
      <c r="E183" t="s">
        <v>23</v>
      </c>
      <c r="F183">
        <v>33493</v>
      </c>
      <c r="G183">
        <v>164716</v>
      </c>
      <c r="H183">
        <v>6918</v>
      </c>
      <c r="I183" t="s">
        <v>18</v>
      </c>
      <c r="J183" s="1">
        <v>43937</v>
      </c>
      <c r="K183" t="s">
        <v>1065</v>
      </c>
      <c r="L183">
        <v>18731</v>
      </c>
    </row>
    <row r="184" spans="1:12" x14ac:dyDescent="0.3">
      <c r="A184" t="s">
        <v>205</v>
      </c>
      <c r="B184" t="s">
        <v>1070</v>
      </c>
      <c r="C184" t="s">
        <v>16</v>
      </c>
      <c r="D184" t="s">
        <v>21</v>
      </c>
      <c r="E184" t="s">
        <v>25</v>
      </c>
      <c r="F184">
        <v>33846</v>
      </c>
      <c r="G184">
        <v>131239</v>
      </c>
      <c r="H184">
        <v>5799</v>
      </c>
      <c r="I184" t="s">
        <v>18</v>
      </c>
      <c r="J184" s="1">
        <v>43272</v>
      </c>
      <c r="K184" t="s">
        <v>1066</v>
      </c>
      <c r="L184">
        <v>18429</v>
      </c>
    </row>
    <row r="185" spans="1:12" x14ac:dyDescent="0.3">
      <c r="A185" t="s">
        <v>206</v>
      </c>
      <c r="B185" t="s">
        <v>1069</v>
      </c>
      <c r="C185" t="s">
        <v>16</v>
      </c>
      <c r="D185" t="s">
        <v>34</v>
      </c>
      <c r="E185" t="s">
        <v>25</v>
      </c>
      <c r="F185">
        <v>52123</v>
      </c>
      <c r="G185">
        <v>81209</v>
      </c>
      <c r="H185">
        <v>5985</v>
      </c>
      <c r="I185" t="s">
        <v>18</v>
      </c>
      <c r="J185" s="1">
        <v>45178</v>
      </c>
      <c r="K185" t="s">
        <v>1066</v>
      </c>
      <c r="L185">
        <v>14613</v>
      </c>
    </row>
    <row r="186" spans="1:12" x14ac:dyDescent="0.3">
      <c r="A186" t="s">
        <v>207</v>
      </c>
      <c r="B186" t="s">
        <v>1081</v>
      </c>
      <c r="C186" t="s">
        <v>20</v>
      </c>
      <c r="D186" t="s">
        <v>12</v>
      </c>
      <c r="E186" t="s">
        <v>23</v>
      </c>
      <c r="F186">
        <v>58856</v>
      </c>
      <c r="G186">
        <v>241150</v>
      </c>
      <c r="H186">
        <v>5823</v>
      </c>
      <c r="I186" t="s">
        <v>18</v>
      </c>
      <c r="J186" s="1">
        <v>45533</v>
      </c>
      <c r="K186" t="s">
        <v>1064</v>
      </c>
      <c r="L186">
        <v>17350</v>
      </c>
    </row>
    <row r="187" spans="1:12" x14ac:dyDescent="0.3">
      <c r="A187" t="s">
        <v>208</v>
      </c>
      <c r="B187" t="s">
        <v>1078</v>
      </c>
      <c r="C187" t="s">
        <v>20</v>
      </c>
      <c r="D187" t="s">
        <v>27</v>
      </c>
      <c r="E187" t="s">
        <v>25</v>
      </c>
      <c r="F187">
        <v>47136</v>
      </c>
      <c r="G187">
        <v>219088</v>
      </c>
      <c r="H187">
        <v>5201</v>
      </c>
      <c r="I187" t="s">
        <v>18</v>
      </c>
      <c r="J187" s="1">
        <v>44505</v>
      </c>
      <c r="K187" t="s">
        <v>1064</v>
      </c>
      <c r="L187">
        <v>9925</v>
      </c>
    </row>
    <row r="188" spans="1:12" x14ac:dyDescent="0.3">
      <c r="A188" t="s">
        <v>209</v>
      </c>
      <c r="B188" t="s">
        <v>1076</v>
      </c>
      <c r="C188" t="s">
        <v>11</v>
      </c>
      <c r="D188" t="s">
        <v>12</v>
      </c>
      <c r="E188" t="s">
        <v>13</v>
      </c>
      <c r="F188">
        <v>33071</v>
      </c>
      <c r="G188">
        <v>79000</v>
      </c>
      <c r="H188">
        <v>3814</v>
      </c>
      <c r="I188" t="s">
        <v>14</v>
      </c>
      <c r="J188" s="1">
        <v>45503</v>
      </c>
      <c r="K188" t="s">
        <v>1067</v>
      </c>
      <c r="L188">
        <v>551</v>
      </c>
    </row>
    <row r="189" spans="1:12" x14ac:dyDescent="0.3">
      <c r="A189" t="s">
        <v>210</v>
      </c>
      <c r="B189" t="s">
        <v>1069</v>
      </c>
      <c r="C189" t="s">
        <v>16</v>
      </c>
      <c r="D189" t="s">
        <v>34</v>
      </c>
      <c r="E189" t="s">
        <v>13</v>
      </c>
      <c r="F189">
        <v>47347</v>
      </c>
      <c r="G189">
        <v>163035</v>
      </c>
      <c r="H189">
        <v>2759</v>
      </c>
      <c r="I189" t="s">
        <v>14</v>
      </c>
      <c r="J189" s="1">
        <v>44831</v>
      </c>
      <c r="K189" t="s">
        <v>1067</v>
      </c>
      <c r="L189">
        <v>6092</v>
      </c>
    </row>
    <row r="190" spans="1:12" x14ac:dyDescent="0.3">
      <c r="A190" t="s">
        <v>211</v>
      </c>
      <c r="B190" t="s">
        <v>1081</v>
      </c>
      <c r="C190" t="s">
        <v>20</v>
      </c>
      <c r="D190" t="s">
        <v>12</v>
      </c>
      <c r="E190" t="s">
        <v>23</v>
      </c>
      <c r="F190">
        <v>28979</v>
      </c>
      <c r="G190">
        <v>206754</v>
      </c>
      <c r="H190">
        <v>4808</v>
      </c>
      <c r="I190" t="s">
        <v>14</v>
      </c>
      <c r="J190" s="1">
        <v>44001</v>
      </c>
      <c r="K190" t="s">
        <v>1067</v>
      </c>
      <c r="L190">
        <v>5420</v>
      </c>
    </row>
    <row r="191" spans="1:12" x14ac:dyDescent="0.3">
      <c r="A191" t="s">
        <v>212</v>
      </c>
      <c r="B191" t="s">
        <v>1079</v>
      </c>
      <c r="C191" t="s">
        <v>20</v>
      </c>
      <c r="D191" t="s">
        <v>34</v>
      </c>
      <c r="E191" t="s">
        <v>25</v>
      </c>
      <c r="F191">
        <v>34882</v>
      </c>
      <c r="G191">
        <v>148226</v>
      </c>
      <c r="H191">
        <v>2718</v>
      </c>
      <c r="I191" t="s">
        <v>18</v>
      </c>
      <c r="J191" s="1">
        <v>43225</v>
      </c>
      <c r="K191" t="s">
        <v>1063</v>
      </c>
      <c r="L191">
        <v>9117</v>
      </c>
    </row>
    <row r="192" spans="1:12" x14ac:dyDescent="0.3">
      <c r="A192" t="s">
        <v>213</v>
      </c>
      <c r="B192" t="s">
        <v>1080</v>
      </c>
      <c r="C192" t="s">
        <v>20</v>
      </c>
      <c r="D192" t="s">
        <v>21</v>
      </c>
      <c r="E192" t="s">
        <v>23</v>
      </c>
      <c r="F192">
        <v>18219</v>
      </c>
      <c r="G192">
        <v>104489</v>
      </c>
      <c r="H192">
        <v>2101</v>
      </c>
      <c r="I192" t="s">
        <v>18</v>
      </c>
      <c r="J192" s="1">
        <v>43858</v>
      </c>
      <c r="K192" t="s">
        <v>1064</v>
      </c>
      <c r="L192">
        <v>19287</v>
      </c>
    </row>
    <row r="193" spans="1:12" x14ac:dyDescent="0.3">
      <c r="A193" t="s">
        <v>214</v>
      </c>
      <c r="B193" t="s">
        <v>1069</v>
      </c>
      <c r="C193" t="s">
        <v>16</v>
      </c>
      <c r="D193" t="s">
        <v>34</v>
      </c>
      <c r="E193" t="s">
        <v>13</v>
      </c>
      <c r="F193">
        <v>27246</v>
      </c>
      <c r="G193">
        <v>100780</v>
      </c>
      <c r="H193">
        <v>5616</v>
      </c>
      <c r="I193" t="s">
        <v>18</v>
      </c>
      <c r="J193" s="1">
        <v>45085</v>
      </c>
      <c r="K193" t="s">
        <v>1066</v>
      </c>
      <c r="L193">
        <v>16162</v>
      </c>
    </row>
    <row r="194" spans="1:12" x14ac:dyDescent="0.3">
      <c r="A194" t="s">
        <v>215</v>
      </c>
      <c r="B194" t="s">
        <v>1078</v>
      </c>
      <c r="C194" t="s">
        <v>20</v>
      </c>
      <c r="D194" t="s">
        <v>27</v>
      </c>
      <c r="E194" t="s">
        <v>23</v>
      </c>
      <c r="F194">
        <v>30726</v>
      </c>
      <c r="G194">
        <v>152315</v>
      </c>
      <c r="H194">
        <v>4537</v>
      </c>
      <c r="I194" t="s">
        <v>14</v>
      </c>
      <c r="J194" s="1">
        <v>43274</v>
      </c>
      <c r="K194" t="s">
        <v>1067</v>
      </c>
      <c r="L194">
        <v>1357</v>
      </c>
    </row>
    <row r="195" spans="1:12" x14ac:dyDescent="0.3">
      <c r="A195" t="s">
        <v>216</v>
      </c>
      <c r="B195" t="s">
        <v>1076</v>
      </c>
      <c r="C195" t="s">
        <v>11</v>
      </c>
      <c r="D195" t="s">
        <v>12</v>
      </c>
      <c r="E195" t="s">
        <v>23</v>
      </c>
      <c r="F195">
        <v>26520</v>
      </c>
      <c r="G195">
        <v>125061</v>
      </c>
      <c r="H195">
        <v>2843</v>
      </c>
      <c r="I195" t="s">
        <v>14</v>
      </c>
      <c r="J195" s="1">
        <v>45125</v>
      </c>
      <c r="K195" t="s">
        <v>1066</v>
      </c>
      <c r="L195">
        <v>3237</v>
      </c>
    </row>
    <row r="196" spans="1:12" x14ac:dyDescent="0.3">
      <c r="A196" t="s">
        <v>217</v>
      </c>
      <c r="B196" t="s">
        <v>1069</v>
      </c>
      <c r="C196" t="s">
        <v>16</v>
      </c>
      <c r="D196" t="s">
        <v>34</v>
      </c>
      <c r="E196" t="s">
        <v>23</v>
      </c>
      <c r="F196">
        <v>25958</v>
      </c>
      <c r="G196">
        <v>238313</v>
      </c>
      <c r="H196">
        <v>3406</v>
      </c>
      <c r="I196" t="s">
        <v>18</v>
      </c>
      <c r="J196" s="1">
        <v>43206</v>
      </c>
      <c r="K196" t="s">
        <v>1064</v>
      </c>
      <c r="L196">
        <v>10139</v>
      </c>
    </row>
    <row r="197" spans="1:12" x14ac:dyDescent="0.3">
      <c r="A197" t="s">
        <v>218</v>
      </c>
      <c r="B197" t="s">
        <v>1068</v>
      </c>
      <c r="C197" t="s">
        <v>16</v>
      </c>
      <c r="D197" t="s">
        <v>27</v>
      </c>
      <c r="E197" t="s">
        <v>13</v>
      </c>
      <c r="F197">
        <v>35366</v>
      </c>
      <c r="G197">
        <v>220579</v>
      </c>
      <c r="H197">
        <v>3941</v>
      </c>
      <c r="I197" t="s">
        <v>18</v>
      </c>
      <c r="J197" s="1">
        <v>45546</v>
      </c>
      <c r="K197" t="s">
        <v>1067</v>
      </c>
      <c r="L197">
        <v>16858</v>
      </c>
    </row>
    <row r="198" spans="1:12" x14ac:dyDescent="0.3">
      <c r="A198" t="s">
        <v>219</v>
      </c>
      <c r="B198" t="s">
        <v>1082</v>
      </c>
      <c r="C198" t="s">
        <v>20</v>
      </c>
      <c r="D198" t="s">
        <v>17</v>
      </c>
      <c r="E198" t="s">
        <v>13</v>
      </c>
      <c r="F198">
        <v>15072</v>
      </c>
      <c r="G198">
        <v>100358</v>
      </c>
      <c r="H198">
        <v>2080</v>
      </c>
      <c r="I198" t="s">
        <v>18</v>
      </c>
      <c r="J198" s="1">
        <v>43778</v>
      </c>
      <c r="K198" t="s">
        <v>1064</v>
      </c>
      <c r="L198">
        <v>11012</v>
      </c>
    </row>
    <row r="199" spans="1:12" x14ac:dyDescent="0.3">
      <c r="A199" t="s">
        <v>220</v>
      </c>
      <c r="B199" t="s">
        <v>1077</v>
      </c>
      <c r="C199" t="s">
        <v>11</v>
      </c>
      <c r="D199" t="s">
        <v>17</v>
      </c>
      <c r="E199" t="s">
        <v>23</v>
      </c>
      <c r="F199">
        <v>16906</v>
      </c>
      <c r="G199">
        <v>126336</v>
      </c>
      <c r="H199">
        <v>4855</v>
      </c>
      <c r="I199" t="s">
        <v>18</v>
      </c>
      <c r="J199" s="1">
        <v>44398</v>
      </c>
      <c r="K199" t="s">
        <v>1065</v>
      </c>
      <c r="L199">
        <v>18620</v>
      </c>
    </row>
    <row r="200" spans="1:12" x14ac:dyDescent="0.3">
      <c r="A200" t="s">
        <v>221</v>
      </c>
      <c r="B200" t="s">
        <v>1077</v>
      </c>
      <c r="C200" t="s">
        <v>11</v>
      </c>
      <c r="D200" t="s">
        <v>17</v>
      </c>
      <c r="E200" t="s">
        <v>23</v>
      </c>
      <c r="F200">
        <v>40947</v>
      </c>
      <c r="G200">
        <v>102651</v>
      </c>
      <c r="H200">
        <v>6631</v>
      </c>
      <c r="I200" t="s">
        <v>18</v>
      </c>
      <c r="J200" s="1">
        <v>43935</v>
      </c>
      <c r="K200" t="s">
        <v>1066</v>
      </c>
      <c r="L200">
        <v>12720</v>
      </c>
    </row>
    <row r="201" spans="1:12" x14ac:dyDescent="0.3">
      <c r="A201" t="s">
        <v>222</v>
      </c>
      <c r="B201" t="s">
        <v>1080</v>
      </c>
      <c r="C201" t="s">
        <v>20</v>
      </c>
      <c r="D201" t="s">
        <v>21</v>
      </c>
      <c r="E201" t="s">
        <v>13</v>
      </c>
      <c r="F201">
        <v>45370</v>
      </c>
      <c r="G201">
        <v>118872</v>
      </c>
      <c r="H201">
        <v>3912</v>
      </c>
      <c r="I201" t="s">
        <v>14</v>
      </c>
      <c r="J201" s="1">
        <v>43646</v>
      </c>
      <c r="K201" t="s">
        <v>1066</v>
      </c>
      <c r="L201">
        <v>17434</v>
      </c>
    </row>
    <row r="202" spans="1:12" x14ac:dyDescent="0.3">
      <c r="A202" t="s">
        <v>223</v>
      </c>
      <c r="B202" t="s">
        <v>1073</v>
      </c>
      <c r="C202" t="s">
        <v>11</v>
      </c>
      <c r="D202" t="s">
        <v>27</v>
      </c>
      <c r="E202" t="s">
        <v>25</v>
      </c>
      <c r="F202">
        <v>56420</v>
      </c>
      <c r="G202">
        <v>184737</v>
      </c>
      <c r="H202">
        <v>6368</v>
      </c>
      <c r="I202" t="s">
        <v>18</v>
      </c>
      <c r="J202" s="1">
        <v>44838</v>
      </c>
      <c r="K202" t="s">
        <v>1065</v>
      </c>
      <c r="L202">
        <v>10228</v>
      </c>
    </row>
    <row r="203" spans="1:12" x14ac:dyDescent="0.3">
      <c r="A203" t="s">
        <v>224</v>
      </c>
      <c r="B203" t="s">
        <v>1071</v>
      </c>
      <c r="C203" t="s">
        <v>16</v>
      </c>
      <c r="D203" t="s">
        <v>12</v>
      </c>
      <c r="E203" t="s">
        <v>13</v>
      </c>
      <c r="F203">
        <v>25863</v>
      </c>
      <c r="G203">
        <v>133841</v>
      </c>
      <c r="H203">
        <v>4444</v>
      </c>
      <c r="I203" t="s">
        <v>14</v>
      </c>
      <c r="J203" s="1">
        <v>43432</v>
      </c>
      <c r="K203" t="s">
        <v>1066</v>
      </c>
      <c r="L203">
        <v>12850</v>
      </c>
    </row>
    <row r="204" spans="1:12" x14ac:dyDescent="0.3">
      <c r="A204" t="s">
        <v>225</v>
      </c>
      <c r="B204" t="s">
        <v>1071</v>
      </c>
      <c r="C204" t="s">
        <v>16</v>
      </c>
      <c r="D204" t="s">
        <v>12</v>
      </c>
      <c r="E204" t="s">
        <v>23</v>
      </c>
      <c r="F204">
        <v>18851</v>
      </c>
      <c r="G204">
        <v>220049</v>
      </c>
      <c r="H204">
        <v>4589</v>
      </c>
      <c r="I204" t="s">
        <v>18</v>
      </c>
      <c r="J204" s="1">
        <v>43395</v>
      </c>
      <c r="K204" t="s">
        <v>1067</v>
      </c>
      <c r="L204">
        <v>11157</v>
      </c>
    </row>
    <row r="205" spans="1:12" x14ac:dyDescent="0.3">
      <c r="A205" t="s">
        <v>226</v>
      </c>
      <c r="B205" t="s">
        <v>1075</v>
      </c>
      <c r="C205" t="s">
        <v>11</v>
      </c>
      <c r="D205" t="s">
        <v>21</v>
      </c>
      <c r="E205" t="s">
        <v>25</v>
      </c>
      <c r="F205">
        <v>21396</v>
      </c>
      <c r="G205">
        <v>204741</v>
      </c>
      <c r="H205">
        <v>6827</v>
      </c>
      <c r="I205" t="s">
        <v>14</v>
      </c>
      <c r="J205" s="1">
        <v>43592</v>
      </c>
      <c r="K205" t="s">
        <v>1065</v>
      </c>
      <c r="L205">
        <v>15938</v>
      </c>
    </row>
    <row r="206" spans="1:12" x14ac:dyDescent="0.3">
      <c r="A206" t="s">
        <v>227</v>
      </c>
      <c r="B206" t="s">
        <v>1080</v>
      </c>
      <c r="C206" t="s">
        <v>20</v>
      </c>
      <c r="D206" t="s">
        <v>21</v>
      </c>
      <c r="E206" t="s">
        <v>23</v>
      </c>
      <c r="F206">
        <v>30045</v>
      </c>
      <c r="G206">
        <v>160009</v>
      </c>
      <c r="H206">
        <v>5040</v>
      </c>
      <c r="I206" t="s">
        <v>18</v>
      </c>
      <c r="J206" s="1">
        <v>43526</v>
      </c>
      <c r="K206" t="s">
        <v>1066</v>
      </c>
      <c r="L206">
        <v>8400</v>
      </c>
    </row>
    <row r="207" spans="1:12" x14ac:dyDescent="0.3">
      <c r="A207" t="s">
        <v>228</v>
      </c>
      <c r="B207" t="s">
        <v>1082</v>
      </c>
      <c r="C207" t="s">
        <v>20</v>
      </c>
      <c r="D207" t="s">
        <v>17</v>
      </c>
      <c r="E207" t="s">
        <v>25</v>
      </c>
      <c r="F207">
        <v>26829</v>
      </c>
      <c r="G207">
        <v>206335</v>
      </c>
      <c r="H207">
        <v>6432</v>
      </c>
      <c r="I207" t="s">
        <v>18</v>
      </c>
      <c r="J207" s="1">
        <v>43583</v>
      </c>
      <c r="K207" t="s">
        <v>1067</v>
      </c>
      <c r="L207">
        <v>14610</v>
      </c>
    </row>
    <row r="208" spans="1:12" x14ac:dyDescent="0.3">
      <c r="A208" t="s">
        <v>229</v>
      </c>
      <c r="B208" t="s">
        <v>1073</v>
      </c>
      <c r="C208" t="s">
        <v>11</v>
      </c>
      <c r="D208" t="s">
        <v>27</v>
      </c>
      <c r="E208" t="s">
        <v>13</v>
      </c>
      <c r="F208">
        <v>40177</v>
      </c>
      <c r="G208">
        <v>151745</v>
      </c>
      <c r="H208">
        <v>2729</v>
      </c>
      <c r="I208" t="s">
        <v>14</v>
      </c>
      <c r="J208" s="1">
        <v>43603</v>
      </c>
      <c r="K208" t="s">
        <v>1064</v>
      </c>
      <c r="L208">
        <v>12160</v>
      </c>
    </row>
    <row r="209" spans="1:12" x14ac:dyDescent="0.3">
      <c r="A209" t="s">
        <v>230</v>
      </c>
      <c r="B209" t="s">
        <v>1075</v>
      </c>
      <c r="C209" t="s">
        <v>11</v>
      </c>
      <c r="D209" t="s">
        <v>21</v>
      </c>
      <c r="E209" t="s">
        <v>13</v>
      </c>
      <c r="F209">
        <v>32245</v>
      </c>
      <c r="G209">
        <v>120004</v>
      </c>
      <c r="H209">
        <v>1520</v>
      </c>
      <c r="I209" t="s">
        <v>14</v>
      </c>
      <c r="J209" s="1">
        <v>44666</v>
      </c>
      <c r="K209" t="s">
        <v>1064</v>
      </c>
      <c r="L209">
        <v>17133</v>
      </c>
    </row>
    <row r="210" spans="1:12" x14ac:dyDescent="0.3">
      <c r="A210" t="s">
        <v>231</v>
      </c>
      <c r="B210" t="s">
        <v>1079</v>
      </c>
      <c r="C210" t="s">
        <v>20</v>
      </c>
      <c r="D210" t="s">
        <v>34</v>
      </c>
      <c r="E210" t="s">
        <v>13</v>
      </c>
      <c r="F210">
        <v>52756</v>
      </c>
      <c r="G210">
        <v>94071</v>
      </c>
      <c r="H210">
        <v>6433</v>
      </c>
      <c r="I210" t="s">
        <v>18</v>
      </c>
      <c r="J210" s="1">
        <v>44306</v>
      </c>
      <c r="K210" t="s">
        <v>1063</v>
      </c>
      <c r="L210">
        <v>14018</v>
      </c>
    </row>
    <row r="211" spans="1:12" x14ac:dyDescent="0.3">
      <c r="A211" t="s">
        <v>232</v>
      </c>
      <c r="B211" t="s">
        <v>1076</v>
      </c>
      <c r="C211" t="s">
        <v>11</v>
      </c>
      <c r="D211" t="s">
        <v>12</v>
      </c>
      <c r="E211" t="s">
        <v>23</v>
      </c>
      <c r="F211">
        <v>55977</v>
      </c>
      <c r="G211">
        <v>215457</v>
      </c>
      <c r="H211">
        <v>4378</v>
      </c>
      <c r="I211" t="s">
        <v>14</v>
      </c>
      <c r="J211" s="1">
        <v>44771</v>
      </c>
      <c r="K211" t="s">
        <v>1065</v>
      </c>
      <c r="L211">
        <v>19070</v>
      </c>
    </row>
    <row r="212" spans="1:12" x14ac:dyDescent="0.3">
      <c r="A212" t="s">
        <v>233</v>
      </c>
      <c r="B212" t="s">
        <v>1070</v>
      </c>
      <c r="C212" t="s">
        <v>16</v>
      </c>
      <c r="D212" t="s">
        <v>21</v>
      </c>
      <c r="E212" t="s">
        <v>23</v>
      </c>
      <c r="F212">
        <v>34597</v>
      </c>
      <c r="G212">
        <v>146831</v>
      </c>
      <c r="H212">
        <v>4186</v>
      </c>
      <c r="I212" t="s">
        <v>14</v>
      </c>
      <c r="J212" s="1">
        <v>44730</v>
      </c>
      <c r="K212" t="s">
        <v>1067</v>
      </c>
      <c r="L212">
        <v>12479</v>
      </c>
    </row>
    <row r="213" spans="1:12" x14ac:dyDescent="0.3">
      <c r="A213" t="s">
        <v>234</v>
      </c>
      <c r="B213" t="s">
        <v>1082</v>
      </c>
      <c r="C213" t="s">
        <v>20</v>
      </c>
      <c r="D213" t="s">
        <v>17</v>
      </c>
      <c r="E213" t="s">
        <v>13</v>
      </c>
      <c r="F213">
        <v>40338</v>
      </c>
      <c r="G213">
        <v>92522</v>
      </c>
      <c r="H213">
        <v>6738</v>
      </c>
      <c r="I213" t="s">
        <v>18</v>
      </c>
      <c r="J213" s="1">
        <v>45087</v>
      </c>
      <c r="K213" t="s">
        <v>1064</v>
      </c>
      <c r="L213">
        <v>17960</v>
      </c>
    </row>
    <row r="214" spans="1:12" x14ac:dyDescent="0.3">
      <c r="A214" t="s">
        <v>235</v>
      </c>
      <c r="B214" t="s">
        <v>1081</v>
      </c>
      <c r="C214" t="s">
        <v>20</v>
      </c>
      <c r="D214" t="s">
        <v>12</v>
      </c>
      <c r="E214" t="s">
        <v>23</v>
      </c>
      <c r="F214">
        <v>36077</v>
      </c>
      <c r="G214">
        <v>107636</v>
      </c>
      <c r="H214">
        <v>5096</v>
      </c>
      <c r="I214" t="s">
        <v>18</v>
      </c>
      <c r="J214" s="1">
        <v>43350</v>
      </c>
      <c r="K214" t="s">
        <v>1063</v>
      </c>
      <c r="L214">
        <v>13146</v>
      </c>
    </row>
    <row r="215" spans="1:12" x14ac:dyDescent="0.3">
      <c r="A215" t="s">
        <v>236</v>
      </c>
      <c r="B215" t="s">
        <v>1071</v>
      </c>
      <c r="C215" t="s">
        <v>16</v>
      </c>
      <c r="D215" t="s">
        <v>12</v>
      </c>
      <c r="E215" t="s">
        <v>23</v>
      </c>
      <c r="F215">
        <v>52646</v>
      </c>
      <c r="G215">
        <v>70687</v>
      </c>
      <c r="H215">
        <v>3981</v>
      </c>
      <c r="I215" t="s">
        <v>18</v>
      </c>
      <c r="J215" s="1">
        <v>44830</v>
      </c>
      <c r="K215" t="s">
        <v>1065</v>
      </c>
      <c r="L215">
        <v>12904</v>
      </c>
    </row>
    <row r="216" spans="1:12" x14ac:dyDescent="0.3">
      <c r="A216" t="s">
        <v>237</v>
      </c>
      <c r="B216" t="s">
        <v>1078</v>
      </c>
      <c r="C216" t="s">
        <v>20</v>
      </c>
      <c r="D216" t="s">
        <v>27</v>
      </c>
      <c r="E216" t="s">
        <v>25</v>
      </c>
      <c r="F216">
        <v>48822</v>
      </c>
      <c r="G216">
        <v>145570</v>
      </c>
      <c r="H216">
        <v>5319</v>
      </c>
      <c r="I216" t="s">
        <v>18</v>
      </c>
      <c r="J216" s="1">
        <v>44117</v>
      </c>
      <c r="K216" t="s">
        <v>1067</v>
      </c>
      <c r="L216">
        <v>7316</v>
      </c>
    </row>
    <row r="217" spans="1:12" x14ac:dyDescent="0.3">
      <c r="A217" t="s">
        <v>238</v>
      </c>
      <c r="B217" t="s">
        <v>1082</v>
      </c>
      <c r="C217" t="s">
        <v>20</v>
      </c>
      <c r="D217" t="s">
        <v>17</v>
      </c>
      <c r="E217" t="s">
        <v>23</v>
      </c>
      <c r="F217">
        <v>59493</v>
      </c>
      <c r="G217">
        <v>242957</v>
      </c>
      <c r="H217">
        <v>7000</v>
      </c>
      <c r="I217" t="s">
        <v>14</v>
      </c>
      <c r="J217" s="1">
        <v>44887</v>
      </c>
      <c r="K217" t="s">
        <v>1066</v>
      </c>
      <c r="L217">
        <v>13300</v>
      </c>
    </row>
    <row r="218" spans="1:12" x14ac:dyDescent="0.3">
      <c r="A218" t="s">
        <v>239</v>
      </c>
      <c r="B218" t="s">
        <v>1076</v>
      </c>
      <c r="C218" t="s">
        <v>11</v>
      </c>
      <c r="D218" t="s">
        <v>12</v>
      </c>
      <c r="E218" t="s">
        <v>25</v>
      </c>
      <c r="F218">
        <v>34670</v>
      </c>
      <c r="G218">
        <v>167246</v>
      </c>
      <c r="H218">
        <v>4140</v>
      </c>
      <c r="I218" t="s">
        <v>18</v>
      </c>
      <c r="J218" s="1">
        <v>45431</v>
      </c>
      <c r="K218" t="s">
        <v>1063</v>
      </c>
      <c r="L218">
        <v>8115</v>
      </c>
    </row>
    <row r="219" spans="1:12" x14ac:dyDescent="0.3">
      <c r="A219" t="s">
        <v>240</v>
      </c>
      <c r="B219" t="s">
        <v>1070</v>
      </c>
      <c r="C219" t="s">
        <v>16</v>
      </c>
      <c r="D219" t="s">
        <v>21</v>
      </c>
      <c r="E219" t="s">
        <v>13</v>
      </c>
      <c r="F219">
        <v>41165</v>
      </c>
      <c r="G219">
        <v>111024</v>
      </c>
      <c r="H219">
        <v>5681</v>
      </c>
      <c r="I219" t="s">
        <v>14</v>
      </c>
      <c r="J219" s="1">
        <v>43607</v>
      </c>
      <c r="K219" t="s">
        <v>1065</v>
      </c>
      <c r="L219">
        <v>8053</v>
      </c>
    </row>
    <row r="220" spans="1:12" x14ac:dyDescent="0.3">
      <c r="A220" t="s">
        <v>241</v>
      </c>
      <c r="B220" t="s">
        <v>1077</v>
      </c>
      <c r="C220" t="s">
        <v>11</v>
      </c>
      <c r="D220" t="s">
        <v>17</v>
      </c>
      <c r="E220" t="s">
        <v>23</v>
      </c>
      <c r="F220">
        <v>26130</v>
      </c>
      <c r="G220">
        <v>102947</v>
      </c>
      <c r="H220">
        <v>4163</v>
      </c>
      <c r="I220" t="s">
        <v>14</v>
      </c>
      <c r="J220" s="1">
        <v>45265</v>
      </c>
      <c r="K220" t="s">
        <v>1067</v>
      </c>
      <c r="L220">
        <v>19483</v>
      </c>
    </row>
    <row r="221" spans="1:12" x14ac:dyDescent="0.3">
      <c r="A221" t="s">
        <v>242</v>
      </c>
      <c r="B221" t="s">
        <v>1078</v>
      </c>
      <c r="C221" t="s">
        <v>20</v>
      </c>
      <c r="D221" t="s">
        <v>27</v>
      </c>
      <c r="E221" t="s">
        <v>25</v>
      </c>
      <c r="F221">
        <v>16632</v>
      </c>
      <c r="G221">
        <v>195456</v>
      </c>
      <c r="H221">
        <v>5026</v>
      </c>
      <c r="I221" t="s">
        <v>14</v>
      </c>
      <c r="J221" s="1">
        <v>43340</v>
      </c>
      <c r="K221" t="s">
        <v>1066</v>
      </c>
      <c r="L221">
        <v>4341</v>
      </c>
    </row>
    <row r="222" spans="1:12" x14ac:dyDescent="0.3">
      <c r="A222" t="s">
        <v>243</v>
      </c>
      <c r="B222" t="s">
        <v>1068</v>
      </c>
      <c r="C222" t="s">
        <v>16</v>
      </c>
      <c r="D222" t="s">
        <v>27</v>
      </c>
      <c r="E222" t="s">
        <v>25</v>
      </c>
      <c r="F222">
        <v>43667</v>
      </c>
      <c r="G222">
        <v>113877</v>
      </c>
      <c r="H222">
        <v>6674</v>
      </c>
      <c r="I222" t="s">
        <v>18</v>
      </c>
      <c r="J222" s="1">
        <v>43773</v>
      </c>
      <c r="K222" t="s">
        <v>1063</v>
      </c>
      <c r="L222">
        <v>6444</v>
      </c>
    </row>
    <row r="223" spans="1:12" x14ac:dyDescent="0.3">
      <c r="A223" t="s">
        <v>244</v>
      </c>
      <c r="B223" t="s">
        <v>1080</v>
      </c>
      <c r="C223" t="s">
        <v>20</v>
      </c>
      <c r="D223" t="s">
        <v>21</v>
      </c>
      <c r="E223" t="s">
        <v>13</v>
      </c>
      <c r="F223">
        <v>25118</v>
      </c>
      <c r="G223">
        <v>246100</v>
      </c>
      <c r="H223">
        <v>6706</v>
      </c>
      <c r="I223" t="s">
        <v>18</v>
      </c>
      <c r="J223" s="1">
        <v>43901</v>
      </c>
      <c r="K223" t="s">
        <v>1066</v>
      </c>
      <c r="L223">
        <v>13083</v>
      </c>
    </row>
    <row r="224" spans="1:12" x14ac:dyDescent="0.3">
      <c r="A224" t="s">
        <v>245</v>
      </c>
      <c r="B224" t="s">
        <v>1076</v>
      </c>
      <c r="C224" t="s">
        <v>11</v>
      </c>
      <c r="D224" t="s">
        <v>12</v>
      </c>
      <c r="E224" t="s">
        <v>25</v>
      </c>
      <c r="F224">
        <v>52996</v>
      </c>
      <c r="G224">
        <v>208663</v>
      </c>
      <c r="H224">
        <v>4408</v>
      </c>
      <c r="I224" t="s">
        <v>14</v>
      </c>
      <c r="J224" s="1">
        <v>43898</v>
      </c>
      <c r="K224" t="s">
        <v>1066</v>
      </c>
      <c r="L224">
        <v>11563</v>
      </c>
    </row>
    <row r="225" spans="1:12" x14ac:dyDescent="0.3">
      <c r="A225" t="s">
        <v>246</v>
      </c>
      <c r="B225" t="s">
        <v>1068</v>
      </c>
      <c r="C225" t="s">
        <v>16</v>
      </c>
      <c r="D225" t="s">
        <v>27</v>
      </c>
      <c r="E225" t="s">
        <v>25</v>
      </c>
      <c r="F225">
        <v>31422</v>
      </c>
      <c r="G225">
        <v>205331</v>
      </c>
      <c r="H225">
        <v>2405</v>
      </c>
      <c r="I225" t="s">
        <v>14</v>
      </c>
      <c r="J225" s="1">
        <v>44417</v>
      </c>
      <c r="K225" t="s">
        <v>1063</v>
      </c>
      <c r="L225">
        <v>7835</v>
      </c>
    </row>
    <row r="226" spans="1:12" x14ac:dyDescent="0.3">
      <c r="A226" t="s">
        <v>247</v>
      </c>
      <c r="B226" t="s">
        <v>1076</v>
      </c>
      <c r="C226" t="s">
        <v>11</v>
      </c>
      <c r="D226" t="s">
        <v>12</v>
      </c>
      <c r="E226" t="s">
        <v>25</v>
      </c>
      <c r="F226">
        <v>33799</v>
      </c>
      <c r="G226">
        <v>71662</v>
      </c>
      <c r="H226">
        <v>6307</v>
      </c>
      <c r="I226" t="s">
        <v>14</v>
      </c>
      <c r="J226" s="1">
        <v>44151</v>
      </c>
      <c r="K226" t="s">
        <v>1065</v>
      </c>
      <c r="L226">
        <v>6110</v>
      </c>
    </row>
    <row r="227" spans="1:12" x14ac:dyDescent="0.3">
      <c r="A227" t="s">
        <v>248</v>
      </c>
      <c r="B227" t="s">
        <v>1071</v>
      </c>
      <c r="C227" t="s">
        <v>16</v>
      </c>
      <c r="D227" t="s">
        <v>12</v>
      </c>
      <c r="E227" t="s">
        <v>25</v>
      </c>
      <c r="F227">
        <v>55212</v>
      </c>
      <c r="G227">
        <v>157402</v>
      </c>
      <c r="H227">
        <v>4926</v>
      </c>
      <c r="I227" t="s">
        <v>18</v>
      </c>
      <c r="J227" s="1">
        <v>44839</v>
      </c>
      <c r="K227" t="s">
        <v>1066</v>
      </c>
      <c r="L227">
        <v>14441</v>
      </c>
    </row>
    <row r="228" spans="1:12" x14ac:dyDescent="0.3">
      <c r="A228" t="s">
        <v>249</v>
      </c>
      <c r="B228" t="s">
        <v>1075</v>
      </c>
      <c r="C228" t="s">
        <v>11</v>
      </c>
      <c r="D228" t="s">
        <v>21</v>
      </c>
      <c r="E228" t="s">
        <v>23</v>
      </c>
      <c r="F228">
        <v>43945</v>
      </c>
      <c r="G228">
        <v>176512</v>
      </c>
      <c r="H228">
        <v>5823</v>
      </c>
      <c r="I228" t="s">
        <v>18</v>
      </c>
      <c r="J228" s="1">
        <v>45087</v>
      </c>
      <c r="K228" t="s">
        <v>1064</v>
      </c>
      <c r="L228">
        <v>12616</v>
      </c>
    </row>
    <row r="229" spans="1:12" x14ac:dyDescent="0.3">
      <c r="A229" t="s">
        <v>250</v>
      </c>
      <c r="B229" t="s">
        <v>1072</v>
      </c>
      <c r="C229" t="s">
        <v>16</v>
      </c>
      <c r="D229" t="s">
        <v>17</v>
      </c>
      <c r="E229" t="s">
        <v>23</v>
      </c>
      <c r="F229">
        <v>46984</v>
      </c>
      <c r="G229">
        <v>170721</v>
      </c>
      <c r="H229">
        <v>6746</v>
      </c>
      <c r="I229" t="s">
        <v>14</v>
      </c>
      <c r="J229" s="1">
        <v>44399</v>
      </c>
      <c r="K229" t="s">
        <v>1064</v>
      </c>
      <c r="L229">
        <v>11908</v>
      </c>
    </row>
    <row r="230" spans="1:12" x14ac:dyDescent="0.3">
      <c r="A230" t="s">
        <v>251</v>
      </c>
      <c r="B230" t="s">
        <v>1074</v>
      </c>
      <c r="C230" t="s">
        <v>11</v>
      </c>
      <c r="D230" t="s">
        <v>34</v>
      </c>
      <c r="E230" t="s">
        <v>13</v>
      </c>
      <c r="F230">
        <v>43523</v>
      </c>
      <c r="G230">
        <v>133475</v>
      </c>
      <c r="H230">
        <v>3502</v>
      </c>
      <c r="I230" t="s">
        <v>18</v>
      </c>
      <c r="J230" s="1">
        <v>44630</v>
      </c>
      <c r="K230" t="s">
        <v>1063</v>
      </c>
      <c r="L230">
        <v>16339</v>
      </c>
    </row>
    <row r="231" spans="1:12" x14ac:dyDescent="0.3">
      <c r="A231" t="s">
        <v>252</v>
      </c>
      <c r="B231" t="s">
        <v>1079</v>
      </c>
      <c r="C231" t="s">
        <v>20</v>
      </c>
      <c r="D231" t="s">
        <v>34</v>
      </c>
      <c r="E231" t="s">
        <v>13</v>
      </c>
      <c r="F231">
        <v>42758</v>
      </c>
      <c r="G231">
        <v>222172</v>
      </c>
      <c r="H231">
        <v>4425</v>
      </c>
      <c r="I231" t="s">
        <v>18</v>
      </c>
      <c r="J231" s="1">
        <v>44172</v>
      </c>
      <c r="K231" t="s">
        <v>1066</v>
      </c>
      <c r="L231">
        <v>8314</v>
      </c>
    </row>
    <row r="232" spans="1:12" x14ac:dyDescent="0.3">
      <c r="A232" t="s">
        <v>253</v>
      </c>
      <c r="B232" t="s">
        <v>1082</v>
      </c>
      <c r="C232" t="s">
        <v>20</v>
      </c>
      <c r="D232" t="s">
        <v>17</v>
      </c>
      <c r="E232" t="s">
        <v>23</v>
      </c>
      <c r="F232">
        <v>29212</v>
      </c>
      <c r="G232">
        <v>219209</v>
      </c>
      <c r="H232">
        <v>4537</v>
      </c>
      <c r="I232" t="s">
        <v>14</v>
      </c>
      <c r="J232" s="1">
        <v>45595</v>
      </c>
      <c r="K232" t="s">
        <v>1064</v>
      </c>
      <c r="L232">
        <v>4134</v>
      </c>
    </row>
    <row r="233" spans="1:12" x14ac:dyDescent="0.3">
      <c r="A233" t="s">
        <v>254</v>
      </c>
      <c r="B233" t="s">
        <v>1076</v>
      </c>
      <c r="C233" t="s">
        <v>11</v>
      </c>
      <c r="D233" t="s">
        <v>12</v>
      </c>
      <c r="E233" t="s">
        <v>25</v>
      </c>
      <c r="F233">
        <v>18078</v>
      </c>
      <c r="G233">
        <v>119591</v>
      </c>
      <c r="H233">
        <v>6722</v>
      </c>
      <c r="I233" t="s">
        <v>18</v>
      </c>
      <c r="J233" s="1">
        <v>44947</v>
      </c>
      <c r="K233" t="s">
        <v>1064</v>
      </c>
      <c r="L233">
        <v>14533</v>
      </c>
    </row>
    <row r="234" spans="1:12" x14ac:dyDescent="0.3">
      <c r="A234" t="s">
        <v>255</v>
      </c>
      <c r="B234" t="s">
        <v>1073</v>
      </c>
      <c r="C234" t="s">
        <v>11</v>
      </c>
      <c r="D234" t="s">
        <v>27</v>
      </c>
      <c r="E234" t="s">
        <v>25</v>
      </c>
      <c r="F234">
        <v>15340</v>
      </c>
      <c r="G234">
        <v>217859</v>
      </c>
      <c r="H234">
        <v>5063</v>
      </c>
      <c r="I234" t="s">
        <v>18</v>
      </c>
      <c r="J234" s="1">
        <v>43158</v>
      </c>
      <c r="K234" t="s">
        <v>1063</v>
      </c>
      <c r="L234">
        <v>1701</v>
      </c>
    </row>
    <row r="235" spans="1:12" x14ac:dyDescent="0.3">
      <c r="A235" t="s">
        <v>256</v>
      </c>
      <c r="B235" t="s">
        <v>1079</v>
      </c>
      <c r="C235" t="s">
        <v>20</v>
      </c>
      <c r="D235" t="s">
        <v>34</v>
      </c>
      <c r="E235" t="s">
        <v>25</v>
      </c>
      <c r="F235">
        <v>36717</v>
      </c>
      <c r="G235">
        <v>179126</v>
      </c>
      <c r="H235">
        <v>2414</v>
      </c>
      <c r="I235" t="s">
        <v>18</v>
      </c>
      <c r="J235" s="1">
        <v>44798</v>
      </c>
      <c r="K235" t="s">
        <v>1063</v>
      </c>
      <c r="L235">
        <v>13866</v>
      </c>
    </row>
    <row r="236" spans="1:12" x14ac:dyDescent="0.3">
      <c r="A236" t="s">
        <v>257</v>
      </c>
      <c r="B236" t="s">
        <v>1074</v>
      </c>
      <c r="C236" t="s">
        <v>11</v>
      </c>
      <c r="D236" t="s">
        <v>34</v>
      </c>
      <c r="E236" t="s">
        <v>25</v>
      </c>
      <c r="F236">
        <v>24393</v>
      </c>
      <c r="G236">
        <v>249480</v>
      </c>
      <c r="H236">
        <v>4618</v>
      </c>
      <c r="I236" t="s">
        <v>18</v>
      </c>
      <c r="J236" s="1">
        <v>44399</v>
      </c>
      <c r="K236" t="s">
        <v>1066</v>
      </c>
      <c r="L236">
        <v>8565</v>
      </c>
    </row>
    <row r="237" spans="1:12" x14ac:dyDescent="0.3">
      <c r="A237" t="s">
        <v>258</v>
      </c>
      <c r="B237" t="s">
        <v>1076</v>
      </c>
      <c r="C237" t="s">
        <v>11</v>
      </c>
      <c r="D237" t="s">
        <v>12</v>
      </c>
      <c r="E237" t="s">
        <v>13</v>
      </c>
      <c r="F237">
        <v>44271</v>
      </c>
      <c r="G237">
        <v>87878</v>
      </c>
      <c r="H237">
        <v>6946</v>
      </c>
      <c r="I237" t="s">
        <v>18</v>
      </c>
      <c r="J237" s="1">
        <v>44419</v>
      </c>
      <c r="K237" t="s">
        <v>1067</v>
      </c>
      <c r="L237">
        <v>12231</v>
      </c>
    </row>
    <row r="238" spans="1:12" x14ac:dyDescent="0.3">
      <c r="A238" t="s">
        <v>259</v>
      </c>
      <c r="B238" t="s">
        <v>1082</v>
      </c>
      <c r="C238" t="s">
        <v>20</v>
      </c>
      <c r="D238" t="s">
        <v>17</v>
      </c>
      <c r="E238" t="s">
        <v>25</v>
      </c>
      <c r="F238">
        <v>30011</v>
      </c>
      <c r="G238">
        <v>145551</v>
      </c>
      <c r="H238">
        <v>6338</v>
      </c>
      <c r="I238" t="s">
        <v>14</v>
      </c>
      <c r="J238" s="1">
        <v>44133</v>
      </c>
      <c r="K238" t="s">
        <v>1063</v>
      </c>
      <c r="L238">
        <v>8752</v>
      </c>
    </row>
    <row r="239" spans="1:12" x14ac:dyDescent="0.3">
      <c r="A239" t="s">
        <v>260</v>
      </c>
      <c r="B239" t="s">
        <v>1068</v>
      </c>
      <c r="C239" t="s">
        <v>16</v>
      </c>
      <c r="D239" t="s">
        <v>27</v>
      </c>
      <c r="E239" t="s">
        <v>23</v>
      </c>
      <c r="F239">
        <v>37046</v>
      </c>
      <c r="G239">
        <v>183123</v>
      </c>
      <c r="H239">
        <v>2444</v>
      </c>
      <c r="I239" t="s">
        <v>14</v>
      </c>
      <c r="J239" s="1">
        <v>43448</v>
      </c>
      <c r="K239" t="s">
        <v>1064</v>
      </c>
      <c r="L239">
        <v>983</v>
      </c>
    </row>
    <row r="240" spans="1:12" x14ac:dyDescent="0.3">
      <c r="A240" t="s">
        <v>261</v>
      </c>
      <c r="B240" t="s">
        <v>1072</v>
      </c>
      <c r="C240" t="s">
        <v>16</v>
      </c>
      <c r="D240" t="s">
        <v>17</v>
      </c>
      <c r="E240" t="s">
        <v>25</v>
      </c>
      <c r="F240">
        <v>43003</v>
      </c>
      <c r="G240">
        <v>106810</v>
      </c>
      <c r="H240">
        <v>4726</v>
      </c>
      <c r="I240" t="s">
        <v>14</v>
      </c>
      <c r="J240" s="1">
        <v>44092</v>
      </c>
      <c r="K240" t="s">
        <v>1064</v>
      </c>
      <c r="L240">
        <v>14354</v>
      </c>
    </row>
    <row r="241" spans="1:12" x14ac:dyDescent="0.3">
      <c r="A241" t="s">
        <v>262</v>
      </c>
      <c r="B241" t="s">
        <v>1078</v>
      </c>
      <c r="C241" t="s">
        <v>20</v>
      </c>
      <c r="D241" t="s">
        <v>27</v>
      </c>
      <c r="E241" t="s">
        <v>13</v>
      </c>
      <c r="F241">
        <v>38051</v>
      </c>
      <c r="G241">
        <v>145450</v>
      </c>
      <c r="H241">
        <v>6375</v>
      </c>
      <c r="I241" t="s">
        <v>14</v>
      </c>
      <c r="J241" s="1">
        <v>44965</v>
      </c>
      <c r="K241" t="s">
        <v>1064</v>
      </c>
      <c r="L241">
        <v>18111</v>
      </c>
    </row>
    <row r="242" spans="1:12" x14ac:dyDescent="0.3">
      <c r="A242" t="s">
        <v>263</v>
      </c>
      <c r="B242" t="s">
        <v>1069</v>
      </c>
      <c r="C242" t="s">
        <v>16</v>
      </c>
      <c r="D242" t="s">
        <v>34</v>
      </c>
      <c r="E242" t="s">
        <v>25</v>
      </c>
      <c r="F242">
        <v>18323</v>
      </c>
      <c r="G242">
        <v>60595</v>
      </c>
      <c r="H242">
        <v>4834</v>
      </c>
      <c r="I242" t="s">
        <v>18</v>
      </c>
      <c r="J242" s="1">
        <v>44841</v>
      </c>
      <c r="K242" t="s">
        <v>1066</v>
      </c>
      <c r="L242">
        <v>6706</v>
      </c>
    </row>
    <row r="243" spans="1:12" x14ac:dyDescent="0.3">
      <c r="A243" t="s">
        <v>264</v>
      </c>
      <c r="B243" t="s">
        <v>1080</v>
      </c>
      <c r="C243" t="s">
        <v>20</v>
      </c>
      <c r="D243" t="s">
        <v>21</v>
      </c>
      <c r="E243" t="s">
        <v>13</v>
      </c>
      <c r="F243">
        <v>19984</v>
      </c>
      <c r="G243">
        <v>126220</v>
      </c>
      <c r="H243">
        <v>5144</v>
      </c>
      <c r="I243" t="s">
        <v>18</v>
      </c>
      <c r="J243" s="1">
        <v>43443</v>
      </c>
      <c r="K243" t="s">
        <v>1065</v>
      </c>
      <c r="L243">
        <v>6747</v>
      </c>
    </row>
    <row r="244" spans="1:12" x14ac:dyDescent="0.3">
      <c r="A244" t="s">
        <v>265</v>
      </c>
      <c r="B244" t="s">
        <v>1078</v>
      </c>
      <c r="C244" t="s">
        <v>20</v>
      </c>
      <c r="D244" t="s">
        <v>27</v>
      </c>
      <c r="E244" t="s">
        <v>23</v>
      </c>
      <c r="F244">
        <v>22865</v>
      </c>
      <c r="G244">
        <v>115664</v>
      </c>
      <c r="H244">
        <v>1731</v>
      </c>
      <c r="I244" t="s">
        <v>18</v>
      </c>
      <c r="J244" s="1">
        <v>44549</v>
      </c>
      <c r="K244" t="s">
        <v>1065</v>
      </c>
      <c r="L244">
        <v>14953</v>
      </c>
    </row>
    <row r="245" spans="1:12" x14ac:dyDescent="0.3">
      <c r="A245" t="s">
        <v>266</v>
      </c>
      <c r="B245" t="s">
        <v>1082</v>
      </c>
      <c r="C245" t="s">
        <v>20</v>
      </c>
      <c r="D245" t="s">
        <v>17</v>
      </c>
      <c r="E245" t="s">
        <v>25</v>
      </c>
      <c r="F245">
        <v>31465</v>
      </c>
      <c r="G245">
        <v>166273</v>
      </c>
      <c r="H245">
        <v>4286</v>
      </c>
      <c r="I245" t="s">
        <v>14</v>
      </c>
      <c r="J245" s="1">
        <v>44980</v>
      </c>
      <c r="K245" t="s">
        <v>1065</v>
      </c>
      <c r="L245">
        <v>16273</v>
      </c>
    </row>
    <row r="246" spans="1:12" x14ac:dyDescent="0.3">
      <c r="A246" t="s">
        <v>267</v>
      </c>
      <c r="B246" t="s">
        <v>1073</v>
      </c>
      <c r="C246" t="s">
        <v>11</v>
      </c>
      <c r="D246" t="s">
        <v>27</v>
      </c>
      <c r="E246" t="s">
        <v>23</v>
      </c>
      <c r="F246">
        <v>56910</v>
      </c>
      <c r="G246">
        <v>150332</v>
      </c>
      <c r="H246">
        <v>5752</v>
      </c>
      <c r="I246" t="s">
        <v>18</v>
      </c>
      <c r="J246" s="1">
        <v>44593</v>
      </c>
      <c r="K246" t="s">
        <v>1067</v>
      </c>
      <c r="L246">
        <v>1426</v>
      </c>
    </row>
    <row r="247" spans="1:12" x14ac:dyDescent="0.3">
      <c r="A247" t="s">
        <v>268</v>
      </c>
      <c r="B247" t="s">
        <v>1075</v>
      </c>
      <c r="C247" t="s">
        <v>11</v>
      </c>
      <c r="D247" t="s">
        <v>21</v>
      </c>
      <c r="E247" t="s">
        <v>23</v>
      </c>
      <c r="F247">
        <v>52756</v>
      </c>
      <c r="G247">
        <v>206466</v>
      </c>
      <c r="H247">
        <v>3624</v>
      </c>
      <c r="I247" t="s">
        <v>14</v>
      </c>
      <c r="J247" s="1">
        <v>45299</v>
      </c>
      <c r="K247" t="s">
        <v>1066</v>
      </c>
      <c r="L247">
        <v>8644</v>
      </c>
    </row>
    <row r="248" spans="1:12" x14ac:dyDescent="0.3">
      <c r="A248" t="s">
        <v>269</v>
      </c>
      <c r="B248" t="s">
        <v>1077</v>
      </c>
      <c r="C248" t="s">
        <v>11</v>
      </c>
      <c r="D248" t="s">
        <v>17</v>
      </c>
      <c r="E248" t="s">
        <v>25</v>
      </c>
      <c r="F248">
        <v>42499</v>
      </c>
      <c r="G248">
        <v>190358</v>
      </c>
      <c r="H248">
        <v>2287</v>
      </c>
      <c r="I248" t="s">
        <v>14</v>
      </c>
      <c r="J248" s="1">
        <v>43783</v>
      </c>
      <c r="K248" t="s">
        <v>1064</v>
      </c>
      <c r="L248">
        <v>16687</v>
      </c>
    </row>
    <row r="249" spans="1:12" x14ac:dyDescent="0.3">
      <c r="A249" t="s">
        <v>270</v>
      </c>
      <c r="B249" t="s">
        <v>1071</v>
      </c>
      <c r="C249" t="s">
        <v>16</v>
      </c>
      <c r="D249" t="s">
        <v>12</v>
      </c>
      <c r="E249" t="s">
        <v>13</v>
      </c>
      <c r="F249">
        <v>39949</v>
      </c>
      <c r="G249">
        <v>69329</v>
      </c>
      <c r="H249">
        <v>5211</v>
      </c>
      <c r="I249" t="s">
        <v>18</v>
      </c>
      <c r="J249" s="1">
        <v>44939</v>
      </c>
      <c r="K249" t="s">
        <v>1065</v>
      </c>
      <c r="L249">
        <v>748</v>
      </c>
    </row>
    <row r="250" spans="1:12" x14ac:dyDescent="0.3">
      <c r="A250" t="s">
        <v>271</v>
      </c>
      <c r="B250" t="s">
        <v>1082</v>
      </c>
      <c r="C250" t="s">
        <v>20</v>
      </c>
      <c r="D250" t="s">
        <v>17</v>
      </c>
      <c r="E250" t="s">
        <v>23</v>
      </c>
      <c r="F250">
        <v>24911</v>
      </c>
      <c r="G250">
        <v>223782</v>
      </c>
      <c r="H250">
        <v>5137</v>
      </c>
      <c r="I250" t="s">
        <v>14</v>
      </c>
      <c r="J250" s="1">
        <v>44861</v>
      </c>
      <c r="K250" t="s">
        <v>1063</v>
      </c>
      <c r="L250">
        <v>2884</v>
      </c>
    </row>
    <row r="251" spans="1:12" x14ac:dyDescent="0.3">
      <c r="A251" t="s">
        <v>272</v>
      </c>
      <c r="B251" t="s">
        <v>1072</v>
      </c>
      <c r="C251" t="s">
        <v>16</v>
      </c>
      <c r="D251" t="s">
        <v>17</v>
      </c>
      <c r="E251" t="s">
        <v>13</v>
      </c>
      <c r="F251">
        <v>20510</v>
      </c>
      <c r="G251">
        <v>235388</v>
      </c>
      <c r="H251">
        <v>3448</v>
      </c>
      <c r="I251" t="s">
        <v>14</v>
      </c>
      <c r="J251" s="1">
        <v>43831</v>
      </c>
      <c r="K251" t="s">
        <v>1065</v>
      </c>
      <c r="L251">
        <v>14628</v>
      </c>
    </row>
  </sheetData>
  <pageMargins left="0.75" right="0.75" top="1" bottom="1" header="0.5" footer="0.5"/>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51"/>
  <sheetViews>
    <sheetView workbookViewId="0">
      <selection activeCell="P1" sqref="P1"/>
    </sheetView>
  </sheetViews>
  <sheetFormatPr defaultRowHeight="14.4" x14ac:dyDescent="0.3"/>
  <cols>
    <col min="1" max="1" width="11.5546875" customWidth="1"/>
    <col min="2" max="2" width="14.77734375" customWidth="1"/>
    <col min="3" max="3" width="11" bestFit="1" customWidth="1"/>
    <col min="4" max="4" width="12.5546875" customWidth="1"/>
    <col min="5" max="5" width="17.33203125" customWidth="1"/>
    <col min="6" max="6" width="15" customWidth="1"/>
    <col min="7" max="7" width="15.77734375" bestFit="1" customWidth="1"/>
    <col min="8" max="8" width="16.33203125" customWidth="1"/>
    <col min="9" max="9" width="14.77734375" bestFit="1" customWidth="1"/>
    <col min="12" max="12" width="9.88671875" bestFit="1" customWidth="1"/>
    <col min="14" max="14" width="23.21875" customWidth="1"/>
  </cols>
  <sheetData>
    <row r="1" spans="1:14" x14ac:dyDescent="0.3">
      <c r="A1" t="s">
        <v>273</v>
      </c>
      <c r="B1" t="s">
        <v>274</v>
      </c>
      <c r="C1" t="s">
        <v>275</v>
      </c>
      <c r="D1" t="s">
        <v>276</v>
      </c>
      <c r="E1" t="s">
        <v>277</v>
      </c>
      <c r="F1" t="s">
        <v>278</v>
      </c>
      <c r="G1" t="s">
        <v>1036</v>
      </c>
      <c r="H1" t="s">
        <v>1037</v>
      </c>
      <c r="I1" t="s">
        <v>1038</v>
      </c>
      <c r="J1" t="s">
        <v>1039</v>
      </c>
      <c r="K1" t="s">
        <v>1040</v>
      </c>
      <c r="L1" t="s">
        <v>1091</v>
      </c>
      <c r="N1" t="s">
        <v>1083</v>
      </c>
    </row>
    <row r="2" spans="1:14" x14ac:dyDescent="0.3">
      <c r="A2" t="s">
        <v>279</v>
      </c>
      <c r="B2" t="s">
        <v>280</v>
      </c>
      <c r="C2" t="s">
        <v>281</v>
      </c>
      <c r="D2" t="s">
        <v>282</v>
      </c>
      <c r="E2">
        <v>1</v>
      </c>
      <c r="F2" t="s">
        <v>283</v>
      </c>
      <c r="G2" s="1">
        <v>45378</v>
      </c>
      <c r="H2" t="s">
        <v>1041</v>
      </c>
      <c r="I2">
        <v>58948</v>
      </c>
      <c r="J2" t="s">
        <v>1042</v>
      </c>
      <c r="K2" t="s">
        <v>1043</v>
      </c>
      <c r="L2" t="str">
        <f>TEXT(Tenants[Payment_Date],"mmm")</f>
        <v>Mar</v>
      </c>
      <c r="N2">
        <f>SUM(Tenants[Paid_Amount])</f>
        <v>8351774</v>
      </c>
    </row>
    <row r="3" spans="1:14" x14ac:dyDescent="0.3">
      <c r="A3" t="s">
        <v>284</v>
      </c>
      <c r="B3" t="s">
        <v>285</v>
      </c>
      <c r="C3" t="s">
        <v>286</v>
      </c>
      <c r="D3" t="s">
        <v>287</v>
      </c>
      <c r="E3">
        <v>3</v>
      </c>
      <c r="F3" t="s">
        <v>283</v>
      </c>
      <c r="G3" s="1">
        <v>45522</v>
      </c>
      <c r="H3" t="s">
        <v>1044</v>
      </c>
      <c r="I3">
        <v>27495</v>
      </c>
      <c r="J3" t="s">
        <v>1045</v>
      </c>
      <c r="K3" t="s">
        <v>1046</v>
      </c>
      <c r="L3" t="str">
        <f>TEXT(Tenants[Payment_Date],"mmm")</f>
        <v>Aug</v>
      </c>
    </row>
    <row r="4" spans="1:14" x14ac:dyDescent="0.3">
      <c r="A4" t="s">
        <v>288</v>
      </c>
      <c r="B4" t="s">
        <v>289</v>
      </c>
      <c r="C4" t="s">
        <v>290</v>
      </c>
      <c r="D4" t="s">
        <v>291</v>
      </c>
      <c r="E4">
        <v>3</v>
      </c>
      <c r="F4" t="s">
        <v>292</v>
      </c>
      <c r="G4" s="1">
        <v>45622</v>
      </c>
      <c r="H4" t="s">
        <v>1047</v>
      </c>
      <c r="I4">
        <v>12487</v>
      </c>
      <c r="J4" t="s">
        <v>1045</v>
      </c>
      <c r="K4" t="s">
        <v>1046</v>
      </c>
      <c r="L4" t="str">
        <f>TEXT(Tenants[Payment_Date],"mmm")</f>
        <v>Nov</v>
      </c>
      <c r="N4" t="s">
        <v>1084</v>
      </c>
    </row>
    <row r="5" spans="1:14" x14ac:dyDescent="0.3">
      <c r="A5" t="s">
        <v>293</v>
      </c>
      <c r="B5" t="s">
        <v>294</v>
      </c>
      <c r="C5" t="s">
        <v>295</v>
      </c>
      <c r="D5" t="s">
        <v>291</v>
      </c>
      <c r="E5">
        <v>1</v>
      </c>
      <c r="F5" t="s">
        <v>292</v>
      </c>
      <c r="G5" s="1">
        <v>45476</v>
      </c>
      <c r="H5" t="s">
        <v>1048</v>
      </c>
      <c r="I5">
        <v>9618</v>
      </c>
      <c r="J5" t="s">
        <v>1049</v>
      </c>
      <c r="K5" t="s">
        <v>1050</v>
      </c>
      <c r="L5" t="str">
        <f>TEXT(Tenants[Payment_Date],"mmm")</f>
        <v>Jul</v>
      </c>
      <c r="N5">
        <f>COUNTIF(Tenants[Tenant_Status],"ACTIVE")</f>
        <v>131</v>
      </c>
    </row>
    <row r="6" spans="1:14" x14ac:dyDescent="0.3">
      <c r="A6" t="s">
        <v>296</v>
      </c>
      <c r="B6" t="s">
        <v>297</v>
      </c>
      <c r="C6" t="s">
        <v>298</v>
      </c>
      <c r="D6" t="s">
        <v>291</v>
      </c>
      <c r="E6">
        <v>6</v>
      </c>
      <c r="F6" t="s">
        <v>292</v>
      </c>
      <c r="G6" s="1">
        <v>45708</v>
      </c>
      <c r="H6" t="s">
        <v>1051</v>
      </c>
      <c r="I6">
        <v>10477</v>
      </c>
      <c r="J6" t="s">
        <v>1049</v>
      </c>
      <c r="K6" t="s">
        <v>1046</v>
      </c>
      <c r="L6" t="str">
        <f>TEXT(Tenants[Payment_Date],"mmm")</f>
        <v>Feb</v>
      </c>
    </row>
    <row r="7" spans="1:14" x14ac:dyDescent="0.3">
      <c r="A7" t="s">
        <v>299</v>
      </c>
      <c r="B7" t="s">
        <v>300</v>
      </c>
      <c r="C7" t="s">
        <v>301</v>
      </c>
      <c r="D7" t="s">
        <v>291</v>
      </c>
      <c r="E7">
        <v>1</v>
      </c>
      <c r="F7" t="s">
        <v>283</v>
      </c>
      <c r="G7" s="1">
        <v>45478</v>
      </c>
      <c r="H7" t="s">
        <v>1048</v>
      </c>
      <c r="I7">
        <v>14357</v>
      </c>
      <c r="J7" t="s">
        <v>1045</v>
      </c>
      <c r="K7" t="s">
        <v>1043</v>
      </c>
      <c r="L7" t="str">
        <f>TEXT(Tenants[Payment_Date],"mmm")</f>
        <v>Jul</v>
      </c>
    </row>
    <row r="8" spans="1:14" x14ac:dyDescent="0.3">
      <c r="A8" t="s">
        <v>302</v>
      </c>
      <c r="B8" t="s">
        <v>303</v>
      </c>
      <c r="C8" t="s">
        <v>304</v>
      </c>
      <c r="D8" t="s">
        <v>305</v>
      </c>
      <c r="E8">
        <v>3</v>
      </c>
      <c r="F8" t="s">
        <v>292</v>
      </c>
      <c r="G8" s="1">
        <v>45327</v>
      </c>
      <c r="H8" t="s">
        <v>1052</v>
      </c>
      <c r="I8">
        <v>9137</v>
      </c>
      <c r="J8" t="s">
        <v>1042</v>
      </c>
      <c r="K8" t="s">
        <v>1050</v>
      </c>
      <c r="L8" t="str">
        <f>TEXT(Tenants[Payment_Date],"mmm")</f>
        <v>Feb</v>
      </c>
    </row>
    <row r="9" spans="1:14" x14ac:dyDescent="0.3">
      <c r="A9" t="s">
        <v>306</v>
      </c>
      <c r="B9" t="s">
        <v>307</v>
      </c>
      <c r="C9" t="s">
        <v>308</v>
      </c>
      <c r="D9" t="s">
        <v>291</v>
      </c>
      <c r="E9">
        <v>5</v>
      </c>
      <c r="F9" t="s">
        <v>292</v>
      </c>
      <c r="G9" s="1">
        <v>45297</v>
      </c>
      <c r="H9" t="s">
        <v>1053</v>
      </c>
      <c r="I9">
        <v>48403</v>
      </c>
      <c r="J9" t="s">
        <v>1045</v>
      </c>
      <c r="K9" t="s">
        <v>1043</v>
      </c>
      <c r="L9" t="str">
        <f>TEXT(Tenants[Payment_Date],"mmm")</f>
        <v>Jan</v>
      </c>
    </row>
    <row r="10" spans="1:14" x14ac:dyDescent="0.3">
      <c r="A10" t="s">
        <v>309</v>
      </c>
      <c r="B10" t="s">
        <v>310</v>
      </c>
      <c r="C10" t="s">
        <v>311</v>
      </c>
      <c r="D10" t="s">
        <v>282</v>
      </c>
      <c r="E10">
        <v>2</v>
      </c>
      <c r="F10" t="s">
        <v>292</v>
      </c>
      <c r="G10" s="1">
        <v>45510</v>
      </c>
      <c r="H10" t="s">
        <v>1044</v>
      </c>
      <c r="I10">
        <v>44959</v>
      </c>
      <c r="J10" t="s">
        <v>1049</v>
      </c>
      <c r="K10" t="s">
        <v>1050</v>
      </c>
      <c r="L10" t="str">
        <f>TEXT(Tenants[Payment_Date],"mmm")</f>
        <v>Aug</v>
      </c>
    </row>
    <row r="11" spans="1:14" x14ac:dyDescent="0.3">
      <c r="A11" t="s">
        <v>312</v>
      </c>
      <c r="B11" t="s">
        <v>313</v>
      </c>
      <c r="C11" t="s">
        <v>314</v>
      </c>
      <c r="D11" t="s">
        <v>291</v>
      </c>
      <c r="E11">
        <v>5</v>
      </c>
      <c r="F11" t="s">
        <v>283</v>
      </c>
      <c r="G11" s="1">
        <v>45540</v>
      </c>
      <c r="H11" t="s">
        <v>1054</v>
      </c>
      <c r="I11">
        <v>34526</v>
      </c>
      <c r="J11" t="s">
        <v>1042</v>
      </c>
      <c r="K11" t="s">
        <v>1046</v>
      </c>
      <c r="L11" t="str">
        <f>TEXT(Tenants[Payment_Date],"mmm")</f>
        <v>Sep</v>
      </c>
    </row>
    <row r="12" spans="1:14" x14ac:dyDescent="0.3">
      <c r="A12" t="s">
        <v>315</v>
      </c>
      <c r="B12" t="s">
        <v>316</v>
      </c>
      <c r="C12" t="s">
        <v>317</v>
      </c>
      <c r="D12" t="s">
        <v>291</v>
      </c>
      <c r="E12">
        <v>6</v>
      </c>
      <c r="F12" t="s">
        <v>292</v>
      </c>
      <c r="G12" s="1">
        <v>45573</v>
      </c>
      <c r="H12" t="s">
        <v>1055</v>
      </c>
      <c r="I12">
        <v>27326</v>
      </c>
      <c r="J12" t="s">
        <v>1042</v>
      </c>
      <c r="K12" t="s">
        <v>1046</v>
      </c>
      <c r="L12" t="str">
        <f>TEXT(Tenants[Payment_Date],"mmm")</f>
        <v>Oct</v>
      </c>
    </row>
    <row r="13" spans="1:14" x14ac:dyDescent="0.3">
      <c r="A13" t="s">
        <v>318</v>
      </c>
      <c r="B13" t="s">
        <v>319</v>
      </c>
      <c r="C13" t="s">
        <v>320</v>
      </c>
      <c r="D13" t="s">
        <v>291</v>
      </c>
      <c r="E13">
        <v>1</v>
      </c>
      <c r="F13" t="s">
        <v>283</v>
      </c>
      <c r="G13" s="1">
        <v>45455</v>
      </c>
      <c r="H13" t="s">
        <v>1056</v>
      </c>
      <c r="I13">
        <v>16902</v>
      </c>
      <c r="J13" t="s">
        <v>1045</v>
      </c>
      <c r="K13" t="s">
        <v>1046</v>
      </c>
      <c r="L13" t="str">
        <f>TEXT(Tenants[Payment_Date],"mmm")</f>
        <v>Jun</v>
      </c>
    </row>
    <row r="14" spans="1:14" x14ac:dyDescent="0.3">
      <c r="A14" t="s">
        <v>321</v>
      </c>
      <c r="B14" t="s">
        <v>322</v>
      </c>
      <c r="C14" t="s">
        <v>323</v>
      </c>
      <c r="D14" t="s">
        <v>287</v>
      </c>
      <c r="E14">
        <v>3</v>
      </c>
      <c r="F14" t="s">
        <v>292</v>
      </c>
      <c r="G14" s="1">
        <v>45641</v>
      </c>
      <c r="H14" t="s">
        <v>1057</v>
      </c>
      <c r="I14">
        <v>29012</v>
      </c>
      <c r="J14" t="s">
        <v>1042</v>
      </c>
      <c r="K14" t="s">
        <v>1043</v>
      </c>
      <c r="L14" t="str">
        <f>TEXT(Tenants[Payment_Date],"mmm")</f>
        <v>Dec</v>
      </c>
    </row>
    <row r="15" spans="1:14" x14ac:dyDescent="0.3">
      <c r="A15" t="s">
        <v>324</v>
      </c>
      <c r="B15" t="s">
        <v>325</v>
      </c>
      <c r="C15" t="s">
        <v>326</v>
      </c>
      <c r="D15" t="s">
        <v>287</v>
      </c>
      <c r="E15">
        <v>4</v>
      </c>
      <c r="F15" t="s">
        <v>292</v>
      </c>
      <c r="G15" s="1">
        <v>45490</v>
      </c>
      <c r="H15" t="s">
        <v>1048</v>
      </c>
      <c r="I15">
        <v>44661</v>
      </c>
      <c r="J15" t="s">
        <v>1049</v>
      </c>
      <c r="K15" t="s">
        <v>1046</v>
      </c>
      <c r="L15" t="str">
        <f>TEXT(Tenants[Payment_Date],"mmm")</f>
        <v>Jul</v>
      </c>
    </row>
    <row r="16" spans="1:14" x14ac:dyDescent="0.3">
      <c r="A16" t="s">
        <v>327</v>
      </c>
      <c r="B16" t="s">
        <v>328</v>
      </c>
      <c r="C16" t="s">
        <v>329</v>
      </c>
      <c r="D16" t="s">
        <v>305</v>
      </c>
      <c r="E16">
        <v>5</v>
      </c>
      <c r="F16" t="s">
        <v>292</v>
      </c>
      <c r="G16" s="1">
        <v>45701</v>
      </c>
      <c r="H16" t="s">
        <v>1051</v>
      </c>
      <c r="I16">
        <v>48205</v>
      </c>
      <c r="J16" t="s">
        <v>1049</v>
      </c>
      <c r="K16" t="s">
        <v>1050</v>
      </c>
      <c r="L16" t="str">
        <f>TEXT(Tenants[Payment_Date],"mmm")</f>
        <v>Feb</v>
      </c>
    </row>
    <row r="17" spans="1:12" x14ac:dyDescent="0.3">
      <c r="A17" t="s">
        <v>330</v>
      </c>
      <c r="B17" t="s">
        <v>331</v>
      </c>
      <c r="C17" t="s">
        <v>332</v>
      </c>
      <c r="D17" t="s">
        <v>333</v>
      </c>
      <c r="E17">
        <v>6</v>
      </c>
      <c r="F17" t="s">
        <v>292</v>
      </c>
      <c r="G17" s="1">
        <v>45610</v>
      </c>
      <c r="H17" t="s">
        <v>1047</v>
      </c>
      <c r="I17">
        <v>34575</v>
      </c>
      <c r="J17" t="s">
        <v>1049</v>
      </c>
      <c r="K17" t="s">
        <v>1050</v>
      </c>
      <c r="L17" t="str">
        <f>TEXT(Tenants[Payment_Date],"mmm")</f>
        <v>Nov</v>
      </c>
    </row>
    <row r="18" spans="1:12" x14ac:dyDescent="0.3">
      <c r="A18" t="s">
        <v>334</v>
      </c>
      <c r="B18" t="s">
        <v>335</v>
      </c>
      <c r="C18" t="s">
        <v>336</v>
      </c>
      <c r="D18" t="s">
        <v>291</v>
      </c>
      <c r="E18">
        <v>1</v>
      </c>
      <c r="F18" t="s">
        <v>292</v>
      </c>
      <c r="G18" s="1">
        <v>45350</v>
      </c>
      <c r="H18" t="s">
        <v>1052</v>
      </c>
      <c r="I18">
        <v>33559</v>
      </c>
      <c r="J18" t="s">
        <v>1042</v>
      </c>
      <c r="K18" t="s">
        <v>1050</v>
      </c>
      <c r="L18" t="str">
        <f>TEXT(Tenants[Payment_Date],"mmm")</f>
        <v>Feb</v>
      </c>
    </row>
    <row r="19" spans="1:12" x14ac:dyDescent="0.3">
      <c r="A19" t="s">
        <v>337</v>
      </c>
      <c r="B19" t="s">
        <v>338</v>
      </c>
      <c r="C19" t="s">
        <v>339</v>
      </c>
      <c r="D19" t="s">
        <v>305</v>
      </c>
      <c r="E19">
        <v>5</v>
      </c>
      <c r="F19" t="s">
        <v>283</v>
      </c>
      <c r="G19" s="1">
        <v>45561</v>
      </c>
      <c r="H19" t="s">
        <v>1054</v>
      </c>
      <c r="I19">
        <v>38548</v>
      </c>
      <c r="J19" t="s">
        <v>1049</v>
      </c>
      <c r="K19" t="s">
        <v>1043</v>
      </c>
      <c r="L19" t="str">
        <f>TEXT(Tenants[Payment_Date],"mmm")</f>
        <v>Sep</v>
      </c>
    </row>
    <row r="20" spans="1:12" x14ac:dyDescent="0.3">
      <c r="A20" t="s">
        <v>340</v>
      </c>
      <c r="B20" t="s">
        <v>341</v>
      </c>
      <c r="C20" t="s">
        <v>342</v>
      </c>
      <c r="D20" t="s">
        <v>333</v>
      </c>
      <c r="E20">
        <v>5</v>
      </c>
      <c r="F20" t="s">
        <v>283</v>
      </c>
      <c r="G20" s="1">
        <v>45599</v>
      </c>
      <c r="H20" t="s">
        <v>1047</v>
      </c>
      <c r="I20">
        <v>46170</v>
      </c>
      <c r="J20" t="s">
        <v>1042</v>
      </c>
      <c r="K20" t="s">
        <v>1046</v>
      </c>
      <c r="L20" t="str">
        <f>TEXT(Tenants[Payment_Date],"mmm")</f>
        <v>Nov</v>
      </c>
    </row>
    <row r="21" spans="1:12" x14ac:dyDescent="0.3">
      <c r="A21" t="s">
        <v>343</v>
      </c>
      <c r="B21" t="s">
        <v>344</v>
      </c>
      <c r="C21" t="s">
        <v>345</v>
      </c>
      <c r="D21" t="s">
        <v>333</v>
      </c>
      <c r="E21">
        <v>4</v>
      </c>
      <c r="F21" t="s">
        <v>283</v>
      </c>
      <c r="G21" s="1">
        <v>45486</v>
      </c>
      <c r="H21" t="s">
        <v>1048</v>
      </c>
      <c r="I21">
        <v>14919</v>
      </c>
      <c r="J21" t="s">
        <v>1049</v>
      </c>
      <c r="K21" t="s">
        <v>1046</v>
      </c>
      <c r="L21" t="str">
        <f>TEXT(Tenants[Payment_Date],"mmm")</f>
        <v>Jul</v>
      </c>
    </row>
    <row r="22" spans="1:12" x14ac:dyDescent="0.3">
      <c r="A22" t="s">
        <v>346</v>
      </c>
      <c r="B22" t="s">
        <v>347</v>
      </c>
      <c r="C22" t="s">
        <v>348</v>
      </c>
      <c r="D22" t="s">
        <v>291</v>
      </c>
      <c r="E22">
        <v>2</v>
      </c>
      <c r="F22" t="s">
        <v>283</v>
      </c>
      <c r="G22" s="1">
        <v>45416</v>
      </c>
      <c r="H22" t="s">
        <v>1058</v>
      </c>
      <c r="I22">
        <v>37082</v>
      </c>
      <c r="J22" t="s">
        <v>1042</v>
      </c>
      <c r="K22" t="s">
        <v>1046</v>
      </c>
      <c r="L22" t="str">
        <f>TEXT(Tenants[Payment_Date],"mmm")</f>
        <v>May</v>
      </c>
    </row>
    <row r="23" spans="1:12" x14ac:dyDescent="0.3">
      <c r="A23" t="s">
        <v>349</v>
      </c>
      <c r="B23" t="s">
        <v>350</v>
      </c>
      <c r="C23" t="s">
        <v>351</v>
      </c>
      <c r="D23" t="s">
        <v>282</v>
      </c>
      <c r="E23">
        <v>5</v>
      </c>
      <c r="F23" t="s">
        <v>283</v>
      </c>
      <c r="G23" s="1">
        <v>45378</v>
      </c>
      <c r="H23" t="s">
        <v>1041</v>
      </c>
      <c r="I23">
        <v>50368</v>
      </c>
      <c r="J23" t="s">
        <v>1042</v>
      </c>
      <c r="K23" t="s">
        <v>1046</v>
      </c>
      <c r="L23" t="str">
        <f>TEXT(Tenants[Payment_Date],"mmm")</f>
        <v>Mar</v>
      </c>
    </row>
    <row r="24" spans="1:12" x14ac:dyDescent="0.3">
      <c r="A24" t="s">
        <v>352</v>
      </c>
      <c r="B24" t="s">
        <v>353</v>
      </c>
      <c r="C24" t="s">
        <v>354</v>
      </c>
      <c r="D24" t="s">
        <v>305</v>
      </c>
      <c r="E24">
        <v>2</v>
      </c>
      <c r="F24" t="s">
        <v>283</v>
      </c>
      <c r="G24" s="1">
        <v>45415</v>
      </c>
      <c r="H24" t="s">
        <v>1058</v>
      </c>
      <c r="I24">
        <v>35222</v>
      </c>
      <c r="J24" t="s">
        <v>1045</v>
      </c>
      <c r="K24" t="s">
        <v>1050</v>
      </c>
      <c r="L24" t="str">
        <f>TEXT(Tenants[Payment_Date],"mmm")</f>
        <v>May</v>
      </c>
    </row>
    <row r="25" spans="1:12" x14ac:dyDescent="0.3">
      <c r="A25" t="s">
        <v>355</v>
      </c>
      <c r="B25" t="s">
        <v>356</v>
      </c>
      <c r="C25" t="s">
        <v>357</v>
      </c>
      <c r="D25" t="s">
        <v>305</v>
      </c>
      <c r="E25">
        <v>2</v>
      </c>
      <c r="F25" t="s">
        <v>283</v>
      </c>
      <c r="G25" s="1">
        <v>45690</v>
      </c>
      <c r="H25" t="s">
        <v>1051</v>
      </c>
      <c r="I25">
        <v>32703</v>
      </c>
      <c r="J25" t="s">
        <v>1042</v>
      </c>
      <c r="K25" t="s">
        <v>1043</v>
      </c>
      <c r="L25" t="str">
        <f>TEXT(Tenants[Payment_Date],"mmm")</f>
        <v>Feb</v>
      </c>
    </row>
    <row r="26" spans="1:12" x14ac:dyDescent="0.3">
      <c r="A26" t="s">
        <v>358</v>
      </c>
      <c r="B26" t="s">
        <v>359</v>
      </c>
      <c r="C26" t="s">
        <v>360</v>
      </c>
      <c r="D26" t="s">
        <v>291</v>
      </c>
      <c r="E26">
        <v>4</v>
      </c>
      <c r="F26" t="s">
        <v>283</v>
      </c>
      <c r="G26" s="1">
        <v>45451</v>
      </c>
      <c r="H26" t="s">
        <v>1056</v>
      </c>
      <c r="I26">
        <v>41723</v>
      </c>
      <c r="J26" t="s">
        <v>1049</v>
      </c>
      <c r="K26" t="s">
        <v>1050</v>
      </c>
      <c r="L26" t="str">
        <f>TEXT(Tenants[Payment_Date],"mmm")</f>
        <v>Jun</v>
      </c>
    </row>
    <row r="27" spans="1:12" x14ac:dyDescent="0.3">
      <c r="A27" t="s">
        <v>361</v>
      </c>
      <c r="B27" t="s">
        <v>362</v>
      </c>
      <c r="C27" t="s">
        <v>363</v>
      </c>
      <c r="D27" t="s">
        <v>333</v>
      </c>
      <c r="E27">
        <v>5</v>
      </c>
      <c r="F27" t="s">
        <v>292</v>
      </c>
      <c r="G27" s="1">
        <v>45494</v>
      </c>
      <c r="H27" t="s">
        <v>1048</v>
      </c>
      <c r="I27">
        <v>52605</v>
      </c>
      <c r="J27" t="s">
        <v>1049</v>
      </c>
      <c r="K27" t="s">
        <v>1046</v>
      </c>
      <c r="L27" t="str">
        <f>TEXT(Tenants[Payment_Date],"mmm")</f>
        <v>Jul</v>
      </c>
    </row>
    <row r="28" spans="1:12" x14ac:dyDescent="0.3">
      <c r="A28" t="s">
        <v>364</v>
      </c>
      <c r="B28" t="s">
        <v>365</v>
      </c>
      <c r="C28" t="s">
        <v>366</v>
      </c>
      <c r="D28" t="s">
        <v>291</v>
      </c>
      <c r="E28">
        <v>3</v>
      </c>
      <c r="F28" t="s">
        <v>283</v>
      </c>
      <c r="G28" s="1">
        <v>45460</v>
      </c>
      <c r="H28" t="s">
        <v>1056</v>
      </c>
      <c r="I28">
        <v>40112</v>
      </c>
      <c r="J28" t="s">
        <v>1042</v>
      </c>
      <c r="K28" t="s">
        <v>1046</v>
      </c>
      <c r="L28" t="str">
        <f>TEXT(Tenants[Payment_Date],"mmm")</f>
        <v>Jun</v>
      </c>
    </row>
    <row r="29" spans="1:12" x14ac:dyDescent="0.3">
      <c r="A29" t="s">
        <v>367</v>
      </c>
      <c r="B29" t="s">
        <v>368</v>
      </c>
      <c r="C29" t="s">
        <v>369</v>
      </c>
      <c r="D29" t="s">
        <v>291</v>
      </c>
      <c r="E29">
        <v>1</v>
      </c>
      <c r="F29" t="s">
        <v>283</v>
      </c>
      <c r="G29" s="1">
        <v>45467</v>
      </c>
      <c r="H29" t="s">
        <v>1056</v>
      </c>
      <c r="I29">
        <v>18761</v>
      </c>
      <c r="J29" t="s">
        <v>1045</v>
      </c>
      <c r="K29" t="s">
        <v>1046</v>
      </c>
      <c r="L29" t="str">
        <f>TEXT(Tenants[Payment_Date],"mmm")</f>
        <v>Jun</v>
      </c>
    </row>
    <row r="30" spans="1:12" x14ac:dyDescent="0.3">
      <c r="A30" t="s">
        <v>370</v>
      </c>
      <c r="B30" t="s">
        <v>371</v>
      </c>
      <c r="C30" t="s">
        <v>372</v>
      </c>
      <c r="D30" t="s">
        <v>333</v>
      </c>
      <c r="E30">
        <v>3</v>
      </c>
      <c r="F30" t="s">
        <v>283</v>
      </c>
      <c r="G30" s="1">
        <v>45354</v>
      </c>
      <c r="H30" t="s">
        <v>1041</v>
      </c>
      <c r="I30">
        <v>15067</v>
      </c>
      <c r="J30" t="s">
        <v>1042</v>
      </c>
      <c r="K30" t="s">
        <v>1050</v>
      </c>
      <c r="L30" t="str">
        <f>TEXT(Tenants[Payment_Date],"mmm")</f>
        <v>Mar</v>
      </c>
    </row>
    <row r="31" spans="1:12" x14ac:dyDescent="0.3">
      <c r="A31" t="s">
        <v>373</v>
      </c>
      <c r="B31" t="s">
        <v>374</v>
      </c>
      <c r="C31" t="s">
        <v>375</v>
      </c>
      <c r="D31" t="s">
        <v>305</v>
      </c>
      <c r="E31">
        <v>2</v>
      </c>
      <c r="F31" t="s">
        <v>292</v>
      </c>
      <c r="G31" s="1">
        <v>45563</v>
      </c>
      <c r="H31" t="s">
        <v>1054</v>
      </c>
      <c r="I31">
        <v>10567</v>
      </c>
      <c r="J31" t="s">
        <v>1042</v>
      </c>
      <c r="K31" t="s">
        <v>1046</v>
      </c>
      <c r="L31" t="str">
        <f>TEXT(Tenants[Payment_Date],"mmm")</f>
        <v>Sep</v>
      </c>
    </row>
    <row r="32" spans="1:12" x14ac:dyDescent="0.3">
      <c r="A32" t="s">
        <v>376</v>
      </c>
      <c r="B32" t="s">
        <v>377</v>
      </c>
      <c r="C32" t="s">
        <v>378</v>
      </c>
      <c r="D32" t="s">
        <v>291</v>
      </c>
      <c r="E32">
        <v>6</v>
      </c>
      <c r="F32" t="s">
        <v>292</v>
      </c>
      <c r="G32" s="1">
        <v>45535</v>
      </c>
      <c r="H32" t="s">
        <v>1044</v>
      </c>
      <c r="I32">
        <v>42064</v>
      </c>
      <c r="J32" t="s">
        <v>1045</v>
      </c>
      <c r="K32" t="s">
        <v>1043</v>
      </c>
      <c r="L32" t="str">
        <f>TEXT(Tenants[Payment_Date],"mmm")</f>
        <v>Aug</v>
      </c>
    </row>
    <row r="33" spans="1:12" x14ac:dyDescent="0.3">
      <c r="A33" t="s">
        <v>379</v>
      </c>
      <c r="B33" t="s">
        <v>380</v>
      </c>
      <c r="C33" t="s">
        <v>381</v>
      </c>
      <c r="D33" t="s">
        <v>305</v>
      </c>
      <c r="E33">
        <v>4</v>
      </c>
      <c r="F33" t="s">
        <v>292</v>
      </c>
      <c r="G33" s="1">
        <v>45726</v>
      </c>
      <c r="H33" t="s">
        <v>1059</v>
      </c>
      <c r="I33">
        <v>9847</v>
      </c>
      <c r="J33" t="s">
        <v>1042</v>
      </c>
      <c r="K33" t="s">
        <v>1046</v>
      </c>
      <c r="L33" t="str">
        <f>TEXT(Tenants[Payment_Date],"mmm")</f>
        <v>Mar</v>
      </c>
    </row>
    <row r="34" spans="1:12" x14ac:dyDescent="0.3">
      <c r="A34" t="s">
        <v>382</v>
      </c>
      <c r="B34" t="s">
        <v>383</v>
      </c>
      <c r="C34" t="s">
        <v>384</v>
      </c>
      <c r="D34" t="s">
        <v>282</v>
      </c>
      <c r="E34">
        <v>3</v>
      </c>
      <c r="F34" t="s">
        <v>283</v>
      </c>
      <c r="G34" s="1">
        <v>45565</v>
      </c>
      <c r="H34" t="s">
        <v>1054</v>
      </c>
      <c r="I34">
        <v>16933</v>
      </c>
      <c r="J34" t="s">
        <v>1049</v>
      </c>
      <c r="K34" t="s">
        <v>1046</v>
      </c>
      <c r="L34" t="str">
        <f>TEXT(Tenants[Payment_Date],"mmm")</f>
        <v>Sep</v>
      </c>
    </row>
    <row r="35" spans="1:12" x14ac:dyDescent="0.3">
      <c r="A35" t="s">
        <v>385</v>
      </c>
      <c r="B35" t="s">
        <v>386</v>
      </c>
      <c r="C35" t="s">
        <v>387</v>
      </c>
      <c r="D35" t="s">
        <v>305</v>
      </c>
      <c r="E35">
        <v>2</v>
      </c>
      <c r="F35" t="s">
        <v>283</v>
      </c>
      <c r="G35" s="1">
        <v>45524</v>
      </c>
      <c r="H35" t="s">
        <v>1044</v>
      </c>
      <c r="I35">
        <v>36643</v>
      </c>
      <c r="J35" t="s">
        <v>1049</v>
      </c>
      <c r="K35" t="s">
        <v>1050</v>
      </c>
      <c r="L35" t="str">
        <f>TEXT(Tenants[Payment_Date],"mmm")</f>
        <v>Aug</v>
      </c>
    </row>
    <row r="36" spans="1:12" x14ac:dyDescent="0.3">
      <c r="A36" t="s">
        <v>388</v>
      </c>
      <c r="B36" t="s">
        <v>389</v>
      </c>
      <c r="C36" t="s">
        <v>390</v>
      </c>
      <c r="D36" t="s">
        <v>333</v>
      </c>
      <c r="E36">
        <v>5</v>
      </c>
      <c r="F36" t="s">
        <v>292</v>
      </c>
      <c r="G36" s="1">
        <v>45622</v>
      </c>
      <c r="H36" t="s">
        <v>1047</v>
      </c>
      <c r="I36">
        <v>42129</v>
      </c>
      <c r="J36" t="s">
        <v>1042</v>
      </c>
      <c r="K36" t="s">
        <v>1043</v>
      </c>
      <c r="L36" t="str">
        <f>TEXT(Tenants[Payment_Date],"mmm")</f>
        <v>Nov</v>
      </c>
    </row>
    <row r="37" spans="1:12" x14ac:dyDescent="0.3">
      <c r="A37" t="s">
        <v>391</v>
      </c>
      <c r="B37" t="s">
        <v>392</v>
      </c>
      <c r="C37" t="s">
        <v>393</v>
      </c>
      <c r="D37" t="s">
        <v>305</v>
      </c>
      <c r="E37">
        <v>1</v>
      </c>
      <c r="F37" t="s">
        <v>283</v>
      </c>
      <c r="G37" s="1">
        <v>45343</v>
      </c>
      <c r="H37" t="s">
        <v>1052</v>
      </c>
      <c r="I37">
        <v>47914</v>
      </c>
      <c r="J37" t="s">
        <v>1042</v>
      </c>
      <c r="K37" t="s">
        <v>1046</v>
      </c>
      <c r="L37" t="str">
        <f>TEXT(Tenants[Payment_Date],"mmm")</f>
        <v>Feb</v>
      </c>
    </row>
    <row r="38" spans="1:12" x14ac:dyDescent="0.3">
      <c r="A38" t="s">
        <v>394</v>
      </c>
      <c r="B38" t="s">
        <v>395</v>
      </c>
      <c r="C38" t="s">
        <v>396</v>
      </c>
      <c r="D38" t="s">
        <v>305</v>
      </c>
      <c r="E38">
        <v>3</v>
      </c>
      <c r="F38" t="s">
        <v>283</v>
      </c>
      <c r="G38" s="1">
        <v>45538</v>
      </c>
      <c r="H38" t="s">
        <v>1054</v>
      </c>
      <c r="I38">
        <v>23176</v>
      </c>
      <c r="J38" t="s">
        <v>1045</v>
      </c>
      <c r="K38" t="s">
        <v>1046</v>
      </c>
      <c r="L38" t="str">
        <f>TEXT(Tenants[Payment_Date],"mmm")</f>
        <v>Sep</v>
      </c>
    </row>
    <row r="39" spans="1:12" x14ac:dyDescent="0.3">
      <c r="A39" t="s">
        <v>397</v>
      </c>
      <c r="B39" t="s">
        <v>398</v>
      </c>
      <c r="C39" t="s">
        <v>399</v>
      </c>
      <c r="D39" t="s">
        <v>333</v>
      </c>
      <c r="E39">
        <v>4</v>
      </c>
      <c r="F39" t="s">
        <v>292</v>
      </c>
      <c r="G39" s="1">
        <v>45492</v>
      </c>
      <c r="H39" t="s">
        <v>1048</v>
      </c>
      <c r="I39">
        <v>25422</v>
      </c>
      <c r="J39" t="s">
        <v>1045</v>
      </c>
      <c r="K39" t="s">
        <v>1050</v>
      </c>
      <c r="L39" t="str">
        <f>TEXT(Tenants[Payment_Date],"mmm")</f>
        <v>Jul</v>
      </c>
    </row>
    <row r="40" spans="1:12" x14ac:dyDescent="0.3">
      <c r="A40" t="s">
        <v>400</v>
      </c>
      <c r="B40" t="s">
        <v>401</v>
      </c>
      <c r="C40" t="s">
        <v>402</v>
      </c>
      <c r="D40" t="s">
        <v>305</v>
      </c>
      <c r="E40">
        <v>6</v>
      </c>
      <c r="F40" t="s">
        <v>292</v>
      </c>
      <c r="G40" s="1">
        <v>45320</v>
      </c>
      <c r="H40" t="s">
        <v>1053</v>
      </c>
      <c r="I40">
        <v>25674</v>
      </c>
      <c r="J40" t="s">
        <v>1042</v>
      </c>
      <c r="K40" t="s">
        <v>1043</v>
      </c>
      <c r="L40" t="str">
        <f>TEXT(Tenants[Payment_Date],"mmm")</f>
        <v>Jan</v>
      </c>
    </row>
    <row r="41" spans="1:12" x14ac:dyDescent="0.3">
      <c r="A41" t="s">
        <v>403</v>
      </c>
      <c r="B41" t="s">
        <v>404</v>
      </c>
      <c r="C41" t="s">
        <v>405</v>
      </c>
      <c r="D41" t="s">
        <v>305</v>
      </c>
      <c r="E41">
        <v>1</v>
      </c>
      <c r="F41" t="s">
        <v>292</v>
      </c>
      <c r="G41" s="1">
        <v>45299</v>
      </c>
      <c r="H41" t="s">
        <v>1053</v>
      </c>
      <c r="I41">
        <v>48419</v>
      </c>
      <c r="J41" t="s">
        <v>1045</v>
      </c>
      <c r="K41" t="s">
        <v>1046</v>
      </c>
      <c r="L41" t="str">
        <f>TEXT(Tenants[Payment_Date],"mmm")</f>
        <v>Jan</v>
      </c>
    </row>
    <row r="42" spans="1:12" x14ac:dyDescent="0.3">
      <c r="A42" t="s">
        <v>406</v>
      </c>
      <c r="B42" t="s">
        <v>407</v>
      </c>
      <c r="C42" t="s">
        <v>408</v>
      </c>
      <c r="D42" t="s">
        <v>333</v>
      </c>
      <c r="E42">
        <v>4</v>
      </c>
      <c r="F42" t="s">
        <v>292</v>
      </c>
      <c r="G42" s="1">
        <v>45444</v>
      </c>
      <c r="H42" t="s">
        <v>1056</v>
      </c>
      <c r="I42">
        <v>28354</v>
      </c>
      <c r="J42" t="s">
        <v>1042</v>
      </c>
      <c r="K42" t="s">
        <v>1043</v>
      </c>
      <c r="L42" t="str">
        <f>TEXT(Tenants[Payment_Date],"mmm")</f>
        <v>Jun</v>
      </c>
    </row>
    <row r="43" spans="1:12" x14ac:dyDescent="0.3">
      <c r="A43" t="s">
        <v>409</v>
      </c>
      <c r="B43" t="s">
        <v>410</v>
      </c>
      <c r="C43" t="s">
        <v>411</v>
      </c>
      <c r="D43" t="s">
        <v>287</v>
      </c>
      <c r="E43">
        <v>4</v>
      </c>
      <c r="F43" t="s">
        <v>292</v>
      </c>
      <c r="G43" s="1">
        <v>45435</v>
      </c>
      <c r="H43" t="s">
        <v>1058</v>
      </c>
      <c r="I43">
        <v>42202</v>
      </c>
      <c r="J43" t="s">
        <v>1049</v>
      </c>
      <c r="K43" t="s">
        <v>1043</v>
      </c>
      <c r="L43" t="str">
        <f>TEXT(Tenants[Payment_Date],"mmm")</f>
        <v>May</v>
      </c>
    </row>
    <row r="44" spans="1:12" x14ac:dyDescent="0.3">
      <c r="A44" t="s">
        <v>412</v>
      </c>
      <c r="B44" t="s">
        <v>413</v>
      </c>
      <c r="C44" t="s">
        <v>414</v>
      </c>
      <c r="D44" t="s">
        <v>333</v>
      </c>
      <c r="E44">
        <v>4</v>
      </c>
      <c r="F44" t="s">
        <v>292</v>
      </c>
      <c r="G44" s="1">
        <v>45702</v>
      </c>
      <c r="H44" t="s">
        <v>1051</v>
      </c>
      <c r="I44">
        <v>30884</v>
      </c>
      <c r="J44" t="s">
        <v>1045</v>
      </c>
      <c r="K44" t="s">
        <v>1050</v>
      </c>
      <c r="L44" t="str">
        <f>TEXT(Tenants[Payment_Date],"mmm")</f>
        <v>Feb</v>
      </c>
    </row>
    <row r="45" spans="1:12" x14ac:dyDescent="0.3">
      <c r="A45" t="s">
        <v>415</v>
      </c>
      <c r="B45" t="s">
        <v>416</v>
      </c>
      <c r="C45" t="s">
        <v>417</v>
      </c>
      <c r="D45" t="s">
        <v>305</v>
      </c>
      <c r="E45">
        <v>2</v>
      </c>
      <c r="F45" t="s">
        <v>292</v>
      </c>
      <c r="G45" s="1">
        <v>45652</v>
      </c>
      <c r="H45" t="s">
        <v>1057</v>
      </c>
      <c r="I45">
        <v>36254</v>
      </c>
      <c r="J45" t="s">
        <v>1042</v>
      </c>
      <c r="K45" t="s">
        <v>1050</v>
      </c>
      <c r="L45" t="str">
        <f>TEXT(Tenants[Payment_Date],"mmm")</f>
        <v>Dec</v>
      </c>
    </row>
    <row r="46" spans="1:12" x14ac:dyDescent="0.3">
      <c r="A46" t="s">
        <v>418</v>
      </c>
      <c r="B46" t="s">
        <v>419</v>
      </c>
      <c r="C46" t="s">
        <v>420</v>
      </c>
      <c r="D46" t="s">
        <v>305</v>
      </c>
      <c r="E46">
        <v>2</v>
      </c>
      <c r="F46" t="s">
        <v>283</v>
      </c>
      <c r="G46" s="1">
        <v>45445</v>
      </c>
      <c r="H46" t="s">
        <v>1056</v>
      </c>
      <c r="I46">
        <v>33453</v>
      </c>
      <c r="J46" t="s">
        <v>1042</v>
      </c>
      <c r="K46" t="s">
        <v>1046</v>
      </c>
      <c r="L46" t="str">
        <f>TEXT(Tenants[Payment_Date],"mmm")</f>
        <v>Jun</v>
      </c>
    </row>
    <row r="47" spans="1:12" x14ac:dyDescent="0.3">
      <c r="A47" t="s">
        <v>421</v>
      </c>
      <c r="B47" t="s">
        <v>422</v>
      </c>
      <c r="C47" t="s">
        <v>423</v>
      </c>
      <c r="D47" t="s">
        <v>333</v>
      </c>
      <c r="E47">
        <v>5</v>
      </c>
      <c r="F47" t="s">
        <v>292</v>
      </c>
      <c r="G47" s="1">
        <v>45310</v>
      </c>
      <c r="H47" t="s">
        <v>1053</v>
      </c>
      <c r="I47">
        <v>12062</v>
      </c>
      <c r="J47" t="s">
        <v>1045</v>
      </c>
      <c r="K47" t="s">
        <v>1050</v>
      </c>
      <c r="L47" t="str">
        <f>TEXT(Tenants[Payment_Date],"mmm")</f>
        <v>Jan</v>
      </c>
    </row>
    <row r="48" spans="1:12" x14ac:dyDescent="0.3">
      <c r="A48" t="s">
        <v>424</v>
      </c>
      <c r="B48" t="s">
        <v>425</v>
      </c>
      <c r="C48" t="s">
        <v>426</v>
      </c>
      <c r="D48" t="s">
        <v>287</v>
      </c>
      <c r="E48">
        <v>2</v>
      </c>
      <c r="F48" t="s">
        <v>283</v>
      </c>
      <c r="G48" s="1">
        <v>45706</v>
      </c>
      <c r="H48" t="s">
        <v>1051</v>
      </c>
      <c r="I48">
        <v>52200</v>
      </c>
      <c r="J48" t="s">
        <v>1049</v>
      </c>
      <c r="K48" t="s">
        <v>1043</v>
      </c>
      <c r="L48" t="str">
        <f>TEXT(Tenants[Payment_Date],"mmm")</f>
        <v>Feb</v>
      </c>
    </row>
    <row r="49" spans="1:12" x14ac:dyDescent="0.3">
      <c r="A49" t="s">
        <v>427</v>
      </c>
      <c r="B49" t="s">
        <v>428</v>
      </c>
      <c r="C49" t="s">
        <v>429</v>
      </c>
      <c r="D49" t="s">
        <v>282</v>
      </c>
      <c r="E49">
        <v>5</v>
      </c>
      <c r="F49" t="s">
        <v>292</v>
      </c>
      <c r="G49" s="1">
        <v>45713</v>
      </c>
      <c r="H49" t="s">
        <v>1051</v>
      </c>
      <c r="I49">
        <v>15764</v>
      </c>
      <c r="J49" t="s">
        <v>1045</v>
      </c>
      <c r="K49" t="s">
        <v>1050</v>
      </c>
      <c r="L49" t="str">
        <f>TEXT(Tenants[Payment_Date],"mmm")</f>
        <v>Feb</v>
      </c>
    </row>
    <row r="50" spans="1:12" x14ac:dyDescent="0.3">
      <c r="A50" t="s">
        <v>430</v>
      </c>
      <c r="B50" t="s">
        <v>431</v>
      </c>
      <c r="C50" t="s">
        <v>432</v>
      </c>
      <c r="D50" t="s">
        <v>305</v>
      </c>
      <c r="E50">
        <v>6</v>
      </c>
      <c r="F50" t="s">
        <v>292</v>
      </c>
      <c r="G50" s="1">
        <v>45433</v>
      </c>
      <c r="H50" t="s">
        <v>1058</v>
      </c>
      <c r="I50">
        <v>10159</v>
      </c>
      <c r="J50" t="s">
        <v>1049</v>
      </c>
      <c r="K50" t="s">
        <v>1046</v>
      </c>
      <c r="L50" t="str">
        <f>TEXT(Tenants[Payment_Date],"mmm")</f>
        <v>May</v>
      </c>
    </row>
    <row r="51" spans="1:12" x14ac:dyDescent="0.3">
      <c r="A51" t="s">
        <v>433</v>
      </c>
      <c r="B51" t="s">
        <v>434</v>
      </c>
      <c r="C51" t="s">
        <v>435</v>
      </c>
      <c r="D51" t="s">
        <v>282</v>
      </c>
      <c r="E51">
        <v>3</v>
      </c>
      <c r="F51" t="s">
        <v>292</v>
      </c>
      <c r="G51" s="1">
        <v>45327</v>
      </c>
      <c r="H51" t="s">
        <v>1052</v>
      </c>
      <c r="I51">
        <v>17246</v>
      </c>
      <c r="J51" t="s">
        <v>1045</v>
      </c>
      <c r="K51" t="s">
        <v>1050</v>
      </c>
      <c r="L51" t="str">
        <f>TEXT(Tenants[Payment_Date],"mmm")</f>
        <v>Feb</v>
      </c>
    </row>
    <row r="52" spans="1:12" x14ac:dyDescent="0.3">
      <c r="A52" t="s">
        <v>436</v>
      </c>
      <c r="B52" t="s">
        <v>437</v>
      </c>
      <c r="C52" t="s">
        <v>438</v>
      </c>
      <c r="D52" t="s">
        <v>305</v>
      </c>
      <c r="E52">
        <v>5</v>
      </c>
      <c r="F52" t="s">
        <v>292</v>
      </c>
      <c r="G52" s="1">
        <v>45410</v>
      </c>
      <c r="H52" t="s">
        <v>1060</v>
      </c>
      <c r="I52">
        <v>53292</v>
      </c>
      <c r="J52" t="s">
        <v>1049</v>
      </c>
      <c r="K52" t="s">
        <v>1046</v>
      </c>
      <c r="L52" t="str">
        <f>TEXT(Tenants[Payment_Date],"mmm")</f>
        <v>Apr</v>
      </c>
    </row>
    <row r="53" spans="1:12" x14ac:dyDescent="0.3">
      <c r="A53" t="s">
        <v>439</v>
      </c>
      <c r="B53" t="s">
        <v>440</v>
      </c>
      <c r="C53" t="s">
        <v>441</v>
      </c>
      <c r="D53" t="s">
        <v>282</v>
      </c>
      <c r="E53">
        <v>3</v>
      </c>
      <c r="F53" t="s">
        <v>283</v>
      </c>
      <c r="G53" s="1">
        <v>45383</v>
      </c>
      <c r="H53" t="s">
        <v>1060</v>
      </c>
      <c r="I53">
        <v>20920</v>
      </c>
      <c r="J53" t="s">
        <v>1049</v>
      </c>
      <c r="K53" t="s">
        <v>1046</v>
      </c>
      <c r="L53" t="str">
        <f>TEXT(Tenants[Payment_Date],"mmm")</f>
        <v>Apr</v>
      </c>
    </row>
    <row r="54" spans="1:12" x14ac:dyDescent="0.3">
      <c r="A54" t="s">
        <v>442</v>
      </c>
      <c r="B54" t="s">
        <v>443</v>
      </c>
      <c r="C54" t="s">
        <v>444</v>
      </c>
      <c r="D54" t="s">
        <v>282</v>
      </c>
      <c r="E54">
        <v>3</v>
      </c>
      <c r="F54" t="s">
        <v>283</v>
      </c>
      <c r="G54" s="1">
        <v>45523</v>
      </c>
      <c r="H54" t="s">
        <v>1044</v>
      </c>
      <c r="I54">
        <v>11097</v>
      </c>
      <c r="J54" t="s">
        <v>1045</v>
      </c>
      <c r="K54" t="s">
        <v>1046</v>
      </c>
      <c r="L54" t="str">
        <f>TEXT(Tenants[Payment_Date],"mmm")</f>
        <v>Aug</v>
      </c>
    </row>
    <row r="55" spans="1:12" x14ac:dyDescent="0.3">
      <c r="A55" t="s">
        <v>445</v>
      </c>
      <c r="B55" t="s">
        <v>446</v>
      </c>
      <c r="C55" t="s">
        <v>447</v>
      </c>
      <c r="D55" t="s">
        <v>282</v>
      </c>
      <c r="E55">
        <v>5</v>
      </c>
      <c r="F55" t="s">
        <v>283</v>
      </c>
      <c r="G55" s="1">
        <v>45565</v>
      </c>
      <c r="H55" t="s">
        <v>1054</v>
      </c>
      <c r="I55">
        <v>50211</v>
      </c>
      <c r="J55" t="s">
        <v>1049</v>
      </c>
      <c r="K55" t="s">
        <v>1050</v>
      </c>
      <c r="L55" t="str">
        <f>TEXT(Tenants[Payment_Date],"mmm")</f>
        <v>Sep</v>
      </c>
    </row>
    <row r="56" spans="1:12" x14ac:dyDescent="0.3">
      <c r="A56" t="s">
        <v>448</v>
      </c>
      <c r="B56" t="s">
        <v>449</v>
      </c>
      <c r="C56" t="s">
        <v>450</v>
      </c>
      <c r="D56" t="s">
        <v>287</v>
      </c>
      <c r="E56">
        <v>3</v>
      </c>
      <c r="F56" t="s">
        <v>283</v>
      </c>
      <c r="G56" s="1">
        <v>45709</v>
      </c>
      <c r="H56" t="s">
        <v>1051</v>
      </c>
      <c r="I56">
        <v>23733</v>
      </c>
      <c r="J56" t="s">
        <v>1049</v>
      </c>
      <c r="K56" t="s">
        <v>1043</v>
      </c>
      <c r="L56" t="str">
        <f>TEXT(Tenants[Payment_Date],"mmm")</f>
        <v>Feb</v>
      </c>
    </row>
    <row r="57" spans="1:12" x14ac:dyDescent="0.3">
      <c r="A57" t="s">
        <v>451</v>
      </c>
      <c r="B57" t="s">
        <v>452</v>
      </c>
      <c r="C57" t="s">
        <v>453</v>
      </c>
      <c r="D57" t="s">
        <v>282</v>
      </c>
      <c r="E57">
        <v>5</v>
      </c>
      <c r="F57" t="s">
        <v>292</v>
      </c>
      <c r="G57" s="1">
        <v>45444</v>
      </c>
      <c r="H57" t="s">
        <v>1056</v>
      </c>
      <c r="I57">
        <v>49661</v>
      </c>
      <c r="J57" t="s">
        <v>1045</v>
      </c>
      <c r="K57" t="s">
        <v>1046</v>
      </c>
      <c r="L57" t="str">
        <f>TEXT(Tenants[Payment_Date],"mmm")</f>
        <v>Jun</v>
      </c>
    </row>
    <row r="58" spans="1:12" x14ac:dyDescent="0.3">
      <c r="A58" t="s">
        <v>454</v>
      </c>
      <c r="B58" t="s">
        <v>455</v>
      </c>
      <c r="C58" t="s">
        <v>456</v>
      </c>
      <c r="D58" t="s">
        <v>291</v>
      </c>
      <c r="E58">
        <v>6</v>
      </c>
      <c r="F58" t="s">
        <v>292</v>
      </c>
      <c r="G58" s="1">
        <v>45648</v>
      </c>
      <c r="H58" t="s">
        <v>1057</v>
      </c>
      <c r="I58">
        <v>44263</v>
      </c>
      <c r="J58" t="s">
        <v>1042</v>
      </c>
      <c r="K58" t="s">
        <v>1050</v>
      </c>
      <c r="L58" t="str">
        <f>TEXT(Tenants[Payment_Date],"mmm")</f>
        <v>Dec</v>
      </c>
    </row>
    <row r="59" spans="1:12" x14ac:dyDescent="0.3">
      <c r="A59" t="s">
        <v>457</v>
      </c>
      <c r="B59" t="s">
        <v>458</v>
      </c>
      <c r="C59" t="s">
        <v>459</v>
      </c>
      <c r="D59" t="s">
        <v>305</v>
      </c>
      <c r="E59">
        <v>3</v>
      </c>
      <c r="F59" t="s">
        <v>292</v>
      </c>
      <c r="G59" s="1">
        <v>45321</v>
      </c>
      <c r="H59" t="s">
        <v>1053</v>
      </c>
      <c r="I59">
        <v>18179</v>
      </c>
      <c r="J59" t="s">
        <v>1042</v>
      </c>
      <c r="K59" t="s">
        <v>1046</v>
      </c>
      <c r="L59" t="str">
        <f>TEXT(Tenants[Payment_Date],"mmm")</f>
        <v>Jan</v>
      </c>
    </row>
    <row r="60" spans="1:12" x14ac:dyDescent="0.3">
      <c r="A60" t="s">
        <v>460</v>
      </c>
      <c r="B60" t="s">
        <v>461</v>
      </c>
      <c r="C60" t="s">
        <v>462</v>
      </c>
      <c r="D60" t="s">
        <v>333</v>
      </c>
      <c r="E60">
        <v>3</v>
      </c>
      <c r="F60" t="s">
        <v>292</v>
      </c>
      <c r="G60" s="1">
        <v>45365</v>
      </c>
      <c r="H60" t="s">
        <v>1041</v>
      </c>
      <c r="I60">
        <v>20754</v>
      </c>
      <c r="J60" t="s">
        <v>1042</v>
      </c>
      <c r="K60" t="s">
        <v>1043</v>
      </c>
      <c r="L60" t="str">
        <f>TEXT(Tenants[Payment_Date],"mmm")</f>
        <v>Mar</v>
      </c>
    </row>
    <row r="61" spans="1:12" x14ac:dyDescent="0.3">
      <c r="A61" t="s">
        <v>463</v>
      </c>
      <c r="B61" t="s">
        <v>464</v>
      </c>
      <c r="C61" t="s">
        <v>465</v>
      </c>
      <c r="D61" t="s">
        <v>282</v>
      </c>
      <c r="E61">
        <v>5</v>
      </c>
      <c r="F61" t="s">
        <v>283</v>
      </c>
      <c r="G61" s="1">
        <v>45694</v>
      </c>
      <c r="H61" t="s">
        <v>1051</v>
      </c>
      <c r="I61">
        <v>59926</v>
      </c>
      <c r="J61" t="s">
        <v>1049</v>
      </c>
      <c r="K61" t="s">
        <v>1046</v>
      </c>
      <c r="L61" t="str">
        <f>TEXT(Tenants[Payment_Date],"mmm")</f>
        <v>Feb</v>
      </c>
    </row>
    <row r="62" spans="1:12" x14ac:dyDescent="0.3">
      <c r="A62" t="s">
        <v>466</v>
      </c>
      <c r="B62" t="s">
        <v>467</v>
      </c>
      <c r="C62" t="s">
        <v>468</v>
      </c>
      <c r="D62" t="s">
        <v>333</v>
      </c>
      <c r="E62">
        <v>6</v>
      </c>
      <c r="F62" t="s">
        <v>283</v>
      </c>
      <c r="G62" s="1">
        <v>45583</v>
      </c>
      <c r="H62" t="s">
        <v>1055</v>
      </c>
      <c r="I62">
        <v>24157</v>
      </c>
      <c r="J62" t="s">
        <v>1045</v>
      </c>
      <c r="K62" t="s">
        <v>1046</v>
      </c>
      <c r="L62" t="str">
        <f>TEXT(Tenants[Payment_Date],"mmm")</f>
        <v>Oct</v>
      </c>
    </row>
    <row r="63" spans="1:12" x14ac:dyDescent="0.3">
      <c r="A63" t="s">
        <v>469</v>
      </c>
      <c r="B63" t="s">
        <v>470</v>
      </c>
      <c r="C63" t="s">
        <v>471</v>
      </c>
      <c r="D63" t="s">
        <v>333</v>
      </c>
      <c r="E63">
        <v>5</v>
      </c>
      <c r="F63" t="s">
        <v>283</v>
      </c>
      <c r="G63" s="1">
        <v>45472</v>
      </c>
      <c r="H63" t="s">
        <v>1056</v>
      </c>
      <c r="I63">
        <v>45199</v>
      </c>
      <c r="J63" t="s">
        <v>1049</v>
      </c>
      <c r="K63" t="s">
        <v>1050</v>
      </c>
      <c r="L63" t="str">
        <f>TEXT(Tenants[Payment_Date],"mmm")</f>
        <v>Jun</v>
      </c>
    </row>
    <row r="64" spans="1:12" x14ac:dyDescent="0.3">
      <c r="A64" t="s">
        <v>472</v>
      </c>
      <c r="B64" t="s">
        <v>473</v>
      </c>
      <c r="C64" t="s">
        <v>474</v>
      </c>
      <c r="D64" t="s">
        <v>305</v>
      </c>
      <c r="E64">
        <v>2</v>
      </c>
      <c r="F64" t="s">
        <v>283</v>
      </c>
      <c r="G64" s="1">
        <v>45325</v>
      </c>
      <c r="H64" t="s">
        <v>1052</v>
      </c>
      <c r="I64">
        <v>54084</v>
      </c>
      <c r="J64" t="s">
        <v>1045</v>
      </c>
      <c r="K64" t="s">
        <v>1043</v>
      </c>
      <c r="L64" t="str">
        <f>TEXT(Tenants[Payment_Date],"mmm")</f>
        <v>Feb</v>
      </c>
    </row>
    <row r="65" spans="1:12" x14ac:dyDescent="0.3">
      <c r="A65" t="s">
        <v>475</v>
      </c>
      <c r="B65" t="s">
        <v>476</v>
      </c>
      <c r="C65" t="s">
        <v>477</v>
      </c>
      <c r="D65" t="s">
        <v>333</v>
      </c>
      <c r="E65">
        <v>6</v>
      </c>
      <c r="F65" t="s">
        <v>283</v>
      </c>
      <c r="G65" s="1">
        <v>45695</v>
      </c>
      <c r="H65" t="s">
        <v>1051</v>
      </c>
      <c r="I65">
        <v>14148</v>
      </c>
      <c r="J65" t="s">
        <v>1045</v>
      </c>
      <c r="K65" t="s">
        <v>1050</v>
      </c>
      <c r="L65" t="str">
        <f>TEXT(Tenants[Payment_Date],"mmm")</f>
        <v>Feb</v>
      </c>
    </row>
    <row r="66" spans="1:12" x14ac:dyDescent="0.3">
      <c r="A66" t="s">
        <v>478</v>
      </c>
      <c r="B66" t="s">
        <v>479</v>
      </c>
      <c r="C66" t="s">
        <v>480</v>
      </c>
      <c r="D66" t="s">
        <v>305</v>
      </c>
      <c r="E66">
        <v>2</v>
      </c>
      <c r="F66" t="s">
        <v>283</v>
      </c>
      <c r="G66" s="1">
        <v>45638</v>
      </c>
      <c r="H66" t="s">
        <v>1057</v>
      </c>
      <c r="I66">
        <v>12388</v>
      </c>
      <c r="J66" t="s">
        <v>1042</v>
      </c>
      <c r="K66" t="s">
        <v>1046</v>
      </c>
      <c r="L66" t="str">
        <f>TEXT(Tenants[Payment_Date],"mmm")</f>
        <v>Dec</v>
      </c>
    </row>
    <row r="67" spans="1:12" x14ac:dyDescent="0.3">
      <c r="A67" t="s">
        <v>481</v>
      </c>
      <c r="B67" t="s">
        <v>482</v>
      </c>
      <c r="C67" t="s">
        <v>483</v>
      </c>
      <c r="D67" t="s">
        <v>333</v>
      </c>
      <c r="E67">
        <v>1</v>
      </c>
      <c r="F67" t="s">
        <v>283</v>
      </c>
      <c r="G67" s="1">
        <v>45405</v>
      </c>
      <c r="H67" t="s">
        <v>1060</v>
      </c>
      <c r="I67">
        <v>25041</v>
      </c>
      <c r="J67" t="s">
        <v>1042</v>
      </c>
      <c r="K67" t="s">
        <v>1043</v>
      </c>
      <c r="L67" t="str">
        <f>TEXT(Tenants[Payment_Date],"mmm")</f>
        <v>Apr</v>
      </c>
    </row>
    <row r="68" spans="1:12" x14ac:dyDescent="0.3">
      <c r="A68" t="s">
        <v>484</v>
      </c>
      <c r="B68" t="s">
        <v>485</v>
      </c>
      <c r="C68" t="s">
        <v>486</v>
      </c>
      <c r="D68" t="s">
        <v>282</v>
      </c>
      <c r="E68">
        <v>3</v>
      </c>
      <c r="F68" t="s">
        <v>283</v>
      </c>
      <c r="G68" s="1">
        <v>45698</v>
      </c>
      <c r="H68" t="s">
        <v>1051</v>
      </c>
      <c r="I68">
        <v>42599</v>
      </c>
      <c r="J68" t="s">
        <v>1042</v>
      </c>
      <c r="K68" t="s">
        <v>1046</v>
      </c>
      <c r="L68" t="str">
        <f>TEXT(Tenants[Payment_Date],"mmm")</f>
        <v>Feb</v>
      </c>
    </row>
    <row r="69" spans="1:12" x14ac:dyDescent="0.3">
      <c r="A69" t="s">
        <v>487</v>
      </c>
      <c r="B69" t="s">
        <v>488</v>
      </c>
      <c r="C69" t="s">
        <v>489</v>
      </c>
      <c r="D69" t="s">
        <v>291</v>
      </c>
      <c r="E69">
        <v>1</v>
      </c>
      <c r="F69" t="s">
        <v>292</v>
      </c>
      <c r="G69" s="1">
        <v>45342</v>
      </c>
      <c r="H69" t="s">
        <v>1052</v>
      </c>
      <c r="I69">
        <v>14822</v>
      </c>
      <c r="J69" t="s">
        <v>1042</v>
      </c>
      <c r="K69" t="s">
        <v>1046</v>
      </c>
      <c r="L69" t="str">
        <f>TEXT(Tenants[Payment_Date],"mmm")</f>
        <v>Feb</v>
      </c>
    </row>
    <row r="70" spans="1:12" x14ac:dyDescent="0.3">
      <c r="A70" t="s">
        <v>490</v>
      </c>
      <c r="B70" t="s">
        <v>491</v>
      </c>
      <c r="C70" t="s">
        <v>492</v>
      </c>
      <c r="D70" t="s">
        <v>305</v>
      </c>
      <c r="E70">
        <v>4</v>
      </c>
      <c r="F70" t="s">
        <v>292</v>
      </c>
      <c r="G70" s="1">
        <v>45726</v>
      </c>
      <c r="H70" t="s">
        <v>1059</v>
      </c>
      <c r="I70">
        <v>59200</v>
      </c>
      <c r="J70" t="s">
        <v>1049</v>
      </c>
      <c r="K70" t="s">
        <v>1046</v>
      </c>
      <c r="L70" t="str">
        <f>TEXT(Tenants[Payment_Date],"mmm")</f>
        <v>Mar</v>
      </c>
    </row>
    <row r="71" spans="1:12" x14ac:dyDescent="0.3">
      <c r="A71" t="s">
        <v>493</v>
      </c>
      <c r="B71" t="s">
        <v>494</v>
      </c>
      <c r="C71" t="s">
        <v>495</v>
      </c>
      <c r="D71" t="s">
        <v>291</v>
      </c>
      <c r="E71">
        <v>3</v>
      </c>
      <c r="F71" t="s">
        <v>283</v>
      </c>
      <c r="G71" s="1">
        <v>45668</v>
      </c>
      <c r="H71" t="s">
        <v>1061</v>
      </c>
      <c r="I71">
        <v>9921</v>
      </c>
      <c r="J71" t="s">
        <v>1042</v>
      </c>
      <c r="K71" t="s">
        <v>1043</v>
      </c>
      <c r="L71" t="str">
        <f>TEXT(Tenants[Payment_Date],"mmm")</f>
        <v>Jan</v>
      </c>
    </row>
    <row r="72" spans="1:12" x14ac:dyDescent="0.3">
      <c r="A72" t="s">
        <v>496</v>
      </c>
      <c r="B72" t="s">
        <v>497</v>
      </c>
      <c r="C72" t="s">
        <v>498</v>
      </c>
      <c r="D72" t="s">
        <v>287</v>
      </c>
      <c r="E72">
        <v>3</v>
      </c>
      <c r="F72" t="s">
        <v>283</v>
      </c>
      <c r="G72" s="1">
        <v>45546</v>
      </c>
      <c r="H72" t="s">
        <v>1054</v>
      </c>
      <c r="I72">
        <v>39925</v>
      </c>
      <c r="J72" t="s">
        <v>1049</v>
      </c>
      <c r="K72" t="s">
        <v>1050</v>
      </c>
      <c r="L72" t="str">
        <f>TEXT(Tenants[Payment_Date],"mmm")</f>
        <v>Sep</v>
      </c>
    </row>
    <row r="73" spans="1:12" x14ac:dyDescent="0.3">
      <c r="A73" t="s">
        <v>499</v>
      </c>
      <c r="B73" t="s">
        <v>500</v>
      </c>
      <c r="C73" t="s">
        <v>501</v>
      </c>
      <c r="D73" t="s">
        <v>282</v>
      </c>
      <c r="E73">
        <v>4</v>
      </c>
      <c r="F73" t="s">
        <v>283</v>
      </c>
      <c r="G73" s="1">
        <v>45558</v>
      </c>
      <c r="H73" t="s">
        <v>1054</v>
      </c>
      <c r="I73">
        <v>58600</v>
      </c>
      <c r="J73" t="s">
        <v>1049</v>
      </c>
      <c r="K73" t="s">
        <v>1050</v>
      </c>
      <c r="L73" t="str">
        <f>TEXT(Tenants[Payment_Date],"mmm")</f>
        <v>Sep</v>
      </c>
    </row>
    <row r="74" spans="1:12" x14ac:dyDescent="0.3">
      <c r="A74" t="s">
        <v>502</v>
      </c>
      <c r="B74" t="s">
        <v>503</v>
      </c>
      <c r="C74" t="s">
        <v>504</v>
      </c>
      <c r="D74" t="s">
        <v>287</v>
      </c>
      <c r="E74">
        <v>2</v>
      </c>
      <c r="F74" t="s">
        <v>292</v>
      </c>
      <c r="G74" s="1">
        <v>45321</v>
      </c>
      <c r="H74" t="s">
        <v>1053</v>
      </c>
      <c r="I74">
        <v>27244</v>
      </c>
      <c r="J74" t="s">
        <v>1042</v>
      </c>
      <c r="K74" t="s">
        <v>1043</v>
      </c>
      <c r="L74" t="str">
        <f>TEXT(Tenants[Payment_Date],"mmm")</f>
        <v>Jan</v>
      </c>
    </row>
    <row r="75" spans="1:12" x14ac:dyDescent="0.3">
      <c r="A75" t="s">
        <v>505</v>
      </c>
      <c r="B75" t="s">
        <v>506</v>
      </c>
      <c r="C75" t="s">
        <v>507</v>
      </c>
      <c r="D75" t="s">
        <v>333</v>
      </c>
      <c r="E75">
        <v>2</v>
      </c>
      <c r="F75" t="s">
        <v>283</v>
      </c>
      <c r="G75" s="1">
        <v>45368</v>
      </c>
      <c r="H75" t="s">
        <v>1041</v>
      </c>
      <c r="I75">
        <v>50767</v>
      </c>
      <c r="J75" t="s">
        <v>1042</v>
      </c>
      <c r="K75" t="s">
        <v>1046</v>
      </c>
      <c r="L75" t="str">
        <f>TEXT(Tenants[Payment_Date],"mmm")</f>
        <v>Mar</v>
      </c>
    </row>
    <row r="76" spans="1:12" x14ac:dyDescent="0.3">
      <c r="A76" t="s">
        <v>508</v>
      </c>
      <c r="B76" t="s">
        <v>509</v>
      </c>
      <c r="C76" t="s">
        <v>510</v>
      </c>
      <c r="D76" t="s">
        <v>305</v>
      </c>
      <c r="E76">
        <v>2</v>
      </c>
      <c r="F76" t="s">
        <v>292</v>
      </c>
      <c r="G76" s="1">
        <v>45434</v>
      </c>
      <c r="H76" t="s">
        <v>1058</v>
      </c>
      <c r="I76">
        <v>28926</v>
      </c>
      <c r="J76" t="s">
        <v>1042</v>
      </c>
      <c r="K76" t="s">
        <v>1050</v>
      </c>
      <c r="L76" t="str">
        <f>TEXT(Tenants[Payment_Date],"mmm")</f>
        <v>May</v>
      </c>
    </row>
    <row r="77" spans="1:12" x14ac:dyDescent="0.3">
      <c r="A77" t="s">
        <v>511</v>
      </c>
      <c r="B77" t="s">
        <v>512</v>
      </c>
      <c r="C77" t="s">
        <v>513</v>
      </c>
      <c r="D77" t="s">
        <v>282</v>
      </c>
      <c r="E77">
        <v>2</v>
      </c>
      <c r="F77" t="s">
        <v>292</v>
      </c>
      <c r="G77" s="1">
        <v>45316</v>
      </c>
      <c r="H77" t="s">
        <v>1053</v>
      </c>
      <c r="I77">
        <v>22559</v>
      </c>
      <c r="J77" t="s">
        <v>1042</v>
      </c>
      <c r="K77" t="s">
        <v>1043</v>
      </c>
      <c r="L77" t="str">
        <f>TEXT(Tenants[Payment_Date],"mmm")</f>
        <v>Jan</v>
      </c>
    </row>
    <row r="78" spans="1:12" x14ac:dyDescent="0.3">
      <c r="A78" t="s">
        <v>514</v>
      </c>
      <c r="B78" t="s">
        <v>515</v>
      </c>
      <c r="C78" t="s">
        <v>516</v>
      </c>
      <c r="D78" t="s">
        <v>291</v>
      </c>
      <c r="E78">
        <v>3</v>
      </c>
      <c r="F78" t="s">
        <v>292</v>
      </c>
      <c r="G78" s="1">
        <v>45431</v>
      </c>
      <c r="H78" t="s">
        <v>1058</v>
      </c>
      <c r="I78">
        <v>50864</v>
      </c>
      <c r="J78" t="s">
        <v>1049</v>
      </c>
      <c r="K78" t="s">
        <v>1046</v>
      </c>
      <c r="L78" t="str">
        <f>TEXT(Tenants[Payment_Date],"mmm")</f>
        <v>May</v>
      </c>
    </row>
    <row r="79" spans="1:12" x14ac:dyDescent="0.3">
      <c r="A79" t="s">
        <v>517</v>
      </c>
      <c r="B79" t="s">
        <v>518</v>
      </c>
      <c r="C79" t="s">
        <v>519</v>
      </c>
      <c r="D79" t="s">
        <v>287</v>
      </c>
      <c r="E79">
        <v>2</v>
      </c>
      <c r="F79" t="s">
        <v>283</v>
      </c>
      <c r="G79" s="1">
        <v>45680</v>
      </c>
      <c r="H79" t="s">
        <v>1061</v>
      </c>
      <c r="I79">
        <v>56735</v>
      </c>
      <c r="J79" t="s">
        <v>1045</v>
      </c>
      <c r="K79" t="s">
        <v>1043</v>
      </c>
      <c r="L79" t="str">
        <f>TEXT(Tenants[Payment_Date],"mmm")</f>
        <v>Jan</v>
      </c>
    </row>
    <row r="80" spans="1:12" x14ac:dyDescent="0.3">
      <c r="A80" t="s">
        <v>520</v>
      </c>
      <c r="B80" t="s">
        <v>521</v>
      </c>
      <c r="C80" t="s">
        <v>522</v>
      </c>
      <c r="D80" t="s">
        <v>291</v>
      </c>
      <c r="E80">
        <v>3</v>
      </c>
      <c r="F80" t="s">
        <v>292</v>
      </c>
      <c r="G80" s="1">
        <v>45354</v>
      </c>
      <c r="H80" t="s">
        <v>1041</v>
      </c>
      <c r="I80">
        <v>37309</v>
      </c>
      <c r="J80" t="s">
        <v>1042</v>
      </c>
      <c r="K80" t="s">
        <v>1046</v>
      </c>
      <c r="L80" t="str">
        <f>TEXT(Tenants[Payment_Date],"mmm")</f>
        <v>Mar</v>
      </c>
    </row>
    <row r="81" spans="1:12" x14ac:dyDescent="0.3">
      <c r="A81" t="s">
        <v>523</v>
      </c>
      <c r="B81" t="s">
        <v>524</v>
      </c>
      <c r="C81" t="s">
        <v>525</v>
      </c>
      <c r="D81" t="s">
        <v>287</v>
      </c>
      <c r="E81">
        <v>5</v>
      </c>
      <c r="F81" t="s">
        <v>283</v>
      </c>
      <c r="G81" s="1">
        <v>45360</v>
      </c>
      <c r="H81" t="s">
        <v>1041</v>
      </c>
      <c r="I81">
        <v>40253</v>
      </c>
      <c r="J81" t="s">
        <v>1049</v>
      </c>
      <c r="K81" t="s">
        <v>1046</v>
      </c>
      <c r="L81" t="str">
        <f>TEXT(Tenants[Payment_Date],"mmm")</f>
        <v>Mar</v>
      </c>
    </row>
    <row r="82" spans="1:12" x14ac:dyDescent="0.3">
      <c r="A82" t="s">
        <v>526</v>
      </c>
      <c r="B82" t="s">
        <v>527</v>
      </c>
      <c r="C82" t="s">
        <v>528</v>
      </c>
      <c r="D82" t="s">
        <v>282</v>
      </c>
      <c r="E82">
        <v>4</v>
      </c>
      <c r="F82" t="s">
        <v>283</v>
      </c>
      <c r="G82" s="1">
        <v>45353</v>
      </c>
      <c r="H82" t="s">
        <v>1041</v>
      </c>
      <c r="I82">
        <v>51405</v>
      </c>
      <c r="J82" t="s">
        <v>1045</v>
      </c>
      <c r="K82" t="s">
        <v>1050</v>
      </c>
      <c r="L82" t="str">
        <f>TEXT(Tenants[Payment_Date],"mmm")</f>
        <v>Mar</v>
      </c>
    </row>
    <row r="83" spans="1:12" x14ac:dyDescent="0.3">
      <c r="A83" t="s">
        <v>529</v>
      </c>
      <c r="B83" t="s">
        <v>530</v>
      </c>
      <c r="C83" t="s">
        <v>531</v>
      </c>
      <c r="D83" t="s">
        <v>282</v>
      </c>
      <c r="E83">
        <v>5</v>
      </c>
      <c r="F83" t="s">
        <v>292</v>
      </c>
      <c r="G83" s="1">
        <v>45630</v>
      </c>
      <c r="H83" t="s">
        <v>1057</v>
      </c>
      <c r="I83">
        <v>20192</v>
      </c>
      <c r="J83" t="s">
        <v>1042</v>
      </c>
      <c r="K83" t="s">
        <v>1046</v>
      </c>
      <c r="L83" t="str">
        <f>TEXT(Tenants[Payment_Date],"mmm")</f>
        <v>Dec</v>
      </c>
    </row>
    <row r="84" spans="1:12" x14ac:dyDescent="0.3">
      <c r="A84" t="s">
        <v>532</v>
      </c>
      <c r="B84" t="s">
        <v>533</v>
      </c>
      <c r="C84" t="s">
        <v>534</v>
      </c>
      <c r="D84" t="s">
        <v>291</v>
      </c>
      <c r="E84">
        <v>5</v>
      </c>
      <c r="F84" t="s">
        <v>283</v>
      </c>
      <c r="G84" s="1">
        <v>45532</v>
      </c>
      <c r="H84" t="s">
        <v>1044</v>
      </c>
      <c r="I84">
        <v>30859</v>
      </c>
      <c r="J84" t="s">
        <v>1045</v>
      </c>
      <c r="K84" t="s">
        <v>1046</v>
      </c>
      <c r="L84" t="str">
        <f>TEXT(Tenants[Payment_Date],"mmm")</f>
        <v>Aug</v>
      </c>
    </row>
    <row r="85" spans="1:12" x14ac:dyDescent="0.3">
      <c r="A85" t="s">
        <v>535</v>
      </c>
      <c r="B85" t="s">
        <v>536</v>
      </c>
      <c r="C85" t="s">
        <v>537</v>
      </c>
      <c r="D85" t="s">
        <v>305</v>
      </c>
      <c r="E85">
        <v>3</v>
      </c>
      <c r="F85" t="s">
        <v>283</v>
      </c>
      <c r="G85" s="1">
        <v>45555</v>
      </c>
      <c r="H85" t="s">
        <v>1054</v>
      </c>
      <c r="I85">
        <v>53938</v>
      </c>
      <c r="J85" t="s">
        <v>1042</v>
      </c>
      <c r="K85" t="s">
        <v>1050</v>
      </c>
      <c r="L85" t="str">
        <f>TEXT(Tenants[Payment_Date],"mmm")</f>
        <v>Sep</v>
      </c>
    </row>
    <row r="86" spans="1:12" x14ac:dyDescent="0.3">
      <c r="A86" t="s">
        <v>538</v>
      </c>
      <c r="B86" t="s">
        <v>539</v>
      </c>
      <c r="C86" t="s">
        <v>540</v>
      </c>
      <c r="D86" t="s">
        <v>282</v>
      </c>
      <c r="E86">
        <v>1</v>
      </c>
      <c r="F86" t="s">
        <v>283</v>
      </c>
      <c r="G86" s="1">
        <v>45460</v>
      </c>
      <c r="H86" t="s">
        <v>1056</v>
      </c>
      <c r="I86">
        <v>37853</v>
      </c>
      <c r="J86" t="s">
        <v>1049</v>
      </c>
      <c r="K86" t="s">
        <v>1046</v>
      </c>
      <c r="L86" t="str">
        <f>TEXT(Tenants[Payment_Date],"mmm")</f>
        <v>Jun</v>
      </c>
    </row>
    <row r="87" spans="1:12" x14ac:dyDescent="0.3">
      <c r="A87" t="s">
        <v>541</v>
      </c>
      <c r="B87" t="s">
        <v>542</v>
      </c>
      <c r="C87" t="s">
        <v>543</v>
      </c>
      <c r="D87" t="s">
        <v>305</v>
      </c>
      <c r="E87">
        <v>2</v>
      </c>
      <c r="F87" t="s">
        <v>292</v>
      </c>
      <c r="G87" s="1">
        <v>45513</v>
      </c>
      <c r="H87" t="s">
        <v>1044</v>
      </c>
      <c r="I87">
        <v>35767</v>
      </c>
      <c r="J87" t="s">
        <v>1045</v>
      </c>
      <c r="K87" t="s">
        <v>1046</v>
      </c>
      <c r="L87" t="str">
        <f>TEXT(Tenants[Payment_Date],"mmm")</f>
        <v>Aug</v>
      </c>
    </row>
    <row r="88" spans="1:12" x14ac:dyDescent="0.3">
      <c r="A88" t="s">
        <v>544</v>
      </c>
      <c r="B88" t="s">
        <v>545</v>
      </c>
      <c r="C88" t="s">
        <v>546</v>
      </c>
      <c r="D88" t="s">
        <v>282</v>
      </c>
      <c r="E88">
        <v>3</v>
      </c>
      <c r="F88" t="s">
        <v>283</v>
      </c>
      <c r="G88" s="1">
        <v>45699</v>
      </c>
      <c r="H88" t="s">
        <v>1051</v>
      </c>
      <c r="I88">
        <v>29409</v>
      </c>
      <c r="J88" t="s">
        <v>1049</v>
      </c>
      <c r="K88" t="s">
        <v>1043</v>
      </c>
      <c r="L88" t="str">
        <f>TEXT(Tenants[Payment_Date],"mmm")</f>
        <v>Feb</v>
      </c>
    </row>
    <row r="89" spans="1:12" x14ac:dyDescent="0.3">
      <c r="A89" t="s">
        <v>547</v>
      </c>
      <c r="B89" t="s">
        <v>548</v>
      </c>
      <c r="C89" t="s">
        <v>549</v>
      </c>
      <c r="D89" t="s">
        <v>282</v>
      </c>
      <c r="E89">
        <v>3</v>
      </c>
      <c r="F89" t="s">
        <v>283</v>
      </c>
      <c r="G89" s="1">
        <v>45517</v>
      </c>
      <c r="H89" t="s">
        <v>1044</v>
      </c>
      <c r="I89">
        <v>34545</v>
      </c>
      <c r="J89" t="s">
        <v>1042</v>
      </c>
      <c r="K89" t="s">
        <v>1043</v>
      </c>
      <c r="L89" t="str">
        <f>TEXT(Tenants[Payment_Date],"mmm")</f>
        <v>Aug</v>
      </c>
    </row>
    <row r="90" spans="1:12" x14ac:dyDescent="0.3">
      <c r="A90" t="s">
        <v>550</v>
      </c>
      <c r="B90" t="s">
        <v>551</v>
      </c>
      <c r="C90" t="s">
        <v>552</v>
      </c>
      <c r="D90" t="s">
        <v>333</v>
      </c>
      <c r="E90">
        <v>2</v>
      </c>
      <c r="F90" t="s">
        <v>283</v>
      </c>
      <c r="G90" s="1">
        <v>45523</v>
      </c>
      <c r="H90" t="s">
        <v>1044</v>
      </c>
      <c r="I90">
        <v>12476</v>
      </c>
      <c r="J90" t="s">
        <v>1049</v>
      </c>
      <c r="K90" t="s">
        <v>1043</v>
      </c>
      <c r="L90" t="str">
        <f>TEXT(Tenants[Payment_Date],"mmm")</f>
        <v>Aug</v>
      </c>
    </row>
    <row r="91" spans="1:12" x14ac:dyDescent="0.3">
      <c r="A91" t="s">
        <v>553</v>
      </c>
      <c r="B91" t="s">
        <v>554</v>
      </c>
      <c r="C91" t="s">
        <v>555</v>
      </c>
      <c r="D91" t="s">
        <v>282</v>
      </c>
      <c r="E91">
        <v>2</v>
      </c>
      <c r="F91" t="s">
        <v>283</v>
      </c>
      <c r="G91" s="1">
        <v>45527</v>
      </c>
      <c r="H91" t="s">
        <v>1044</v>
      </c>
      <c r="I91">
        <v>36931</v>
      </c>
      <c r="J91" t="s">
        <v>1042</v>
      </c>
      <c r="K91" t="s">
        <v>1046</v>
      </c>
      <c r="L91" t="str">
        <f>TEXT(Tenants[Payment_Date],"mmm")</f>
        <v>Aug</v>
      </c>
    </row>
    <row r="92" spans="1:12" x14ac:dyDescent="0.3">
      <c r="A92" t="s">
        <v>556</v>
      </c>
      <c r="B92" t="s">
        <v>557</v>
      </c>
      <c r="C92" t="s">
        <v>558</v>
      </c>
      <c r="D92" t="s">
        <v>287</v>
      </c>
      <c r="E92">
        <v>5</v>
      </c>
      <c r="F92" t="s">
        <v>283</v>
      </c>
      <c r="G92" s="1">
        <v>45670</v>
      </c>
      <c r="H92" t="s">
        <v>1061</v>
      </c>
      <c r="I92">
        <v>41882</v>
      </c>
      <c r="J92" t="s">
        <v>1049</v>
      </c>
      <c r="K92" t="s">
        <v>1043</v>
      </c>
      <c r="L92" t="str">
        <f>TEXT(Tenants[Payment_Date],"mmm")</f>
        <v>Jan</v>
      </c>
    </row>
    <row r="93" spans="1:12" x14ac:dyDescent="0.3">
      <c r="A93" t="s">
        <v>559</v>
      </c>
      <c r="B93" t="s">
        <v>560</v>
      </c>
      <c r="C93" t="s">
        <v>561</v>
      </c>
      <c r="D93" t="s">
        <v>333</v>
      </c>
      <c r="E93">
        <v>2</v>
      </c>
      <c r="F93" t="s">
        <v>283</v>
      </c>
      <c r="G93" s="1">
        <v>45335</v>
      </c>
      <c r="H93" t="s">
        <v>1052</v>
      </c>
      <c r="I93">
        <v>21201</v>
      </c>
      <c r="J93" t="s">
        <v>1045</v>
      </c>
      <c r="K93" t="s">
        <v>1046</v>
      </c>
      <c r="L93" t="str">
        <f>TEXT(Tenants[Payment_Date],"mmm")</f>
        <v>Feb</v>
      </c>
    </row>
    <row r="94" spans="1:12" x14ac:dyDescent="0.3">
      <c r="A94" t="s">
        <v>562</v>
      </c>
      <c r="B94" t="s">
        <v>563</v>
      </c>
      <c r="C94" t="s">
        <v>564</v>
      </c>
      <c r="D94" t="s">
        <v>333</v>
      </c>
      <c r="E94">
        <v>1</v>
      </c>
      <c r="F94" t="s">
        <v>283</v>
      </c>
      <c r="G94" s="1">
        <v>45637</v>
      </c>
      <c r="H94" t="s">
        <v>1057</v>
      </c>
      <c r="I94">
        <v>44352</v>
      </c>
      <c r="J94" t="s">
        <v>1045</v>
      </c>
      <c r="K94" t="s">
        <v>1046</v>
      </c>
      <c r="L94" t="str">
        <f>TEXT(Tenants[Payment_Date],"mmm")</f>
        <v>Dec</v>
      </c>
    </row>
    <row r="95" spans="1:12" x14ac:dyDescent="0.3">
      <c r="A95" t="s">
        <v>565</v>
      </c>
      <c r="B95" t="s">
        <v>566</v>
      </c>
      <c r="C95" t="s">
        <v>567</v>
      </c>
      <c r="D95" t="s">
        <v>287</v>
      </c>
      <c r="E95">
        <v>3</v>
      </c>
      <c r="F95" t="s">
        <v>283</v>
      </c>
      <c r="G95" s="1">
        <v>45705</v>
      </c>
      <c r="H95" t="s">
        <v>1051</v>
      </c>
      <c r="I95">
        <v>21485</v>
      </c>
      <c r="J95" t="s">
        <v>1049</v>
      </c>
      <c r="K95" t="s">
        <v>1046</v>
      </c>
      <c r="L95" t="str">
        <f>TEXT(Tenants[Payment_Date],"mmm")</f>
        <v>Feb</v>
      </c>
    </row>
    <row r="96" spans="1:12" x14ac:dyDescent="0.3">
      <c r="A96" t="s">
        <v>568</v>
      </c>
      <c r="B96" t="s">
        <v>569</v>
      </c>
      <c r="C96" t="s">
        <v>570</v>
      </c>
      <c r="D96" t="s">
        <v>333</v>
      </c>
      <c r="E96">
        <v>2</v>
      </c>
      <c r="F96" t="s">
        <v>283</v>
      </c>
      <c r="G96" s="1">
        <v>45608</v>
      </c>
      <c r="H96" t="s">
        <v>1047</v>
      </c>
      <c r="I96">
        <v>45238</v>
      </c>
      <c r="J96" t="s">
        <v>1045</v>
      </c>
      <c r="K96" t="s">
        <v>1050</v>
      </c>
      <c r="L96" t="str">
        <f>TEXT(Tenants[Payment_Date],"mmm")</f>
        <v>Nov</v>
      </c>
    </row>
    <row r="97" spans="1:12" x14ac:dyDescent="0.3">
      <c r="A97" t="s">
        <v>571</v>
      </c>
      <c r="B97" t="s">
        <v>572</v>
      </c>
      <c r="C97" t="s">
        <v>573</v>
      </c>
      <c r="D97" t="s">
        <v>287</v>
      </c>
      <c r="E97">
        <v>6</v>
      </c>
      <c r="F97" t="s">
        <v>283</v>
      </c>
      <c r="G97" s="1">
        <v>45509</v>
      </c>
      <c r="H97" t="s">
        <v>1044</v>
      </c>
      <c r="I97">
        <v>50435</v>
      </c>
      <c r="J97" t="s">
        <v>1045</v>
      </c>
      <c r="K97" t="s">
        <v>1050</v>
      </c>
      <c r="L97" t="str">
        <f>TEXT(Tenants[Payment_Date],"mmm")</f>
        <v>Aug</v>
      </c>
    </row>
    <row r="98" spans="1:12" x14ac:dyDescent="0.3">
      <c r="A98" t="s">
        <v>574</v>
      </c>
      <c r="B98" t="s">
        <v>575</v>
      </c>
      <c r="C98" t="s">
        <v>576</v>
      </c>
      <c r="D98" t="s">
        <v>291</v>
      </c>
      <c r="E98">
        <v>1</v>
      </c>
      <c r="F98" t="s">
        <v>283</v>
      </c>
      <c r="G98" s="1">
        <v>45658</v>
      </c>
      <c r="H98" t="s">
        <v>1061</v>
      </c>
      <c r="I98">
        <v>47339</v>
      </c>
      <c r="J98" t="s">
        <v>1049</v>
      </c>
      <c r="K98" t="s">
        <v>1046</v>
      </c>
      <c r="L98" t="str">
        <f>TEXT(Tenants[Payment_Date],"mmm")</f>
        <v>Jan</v>
      </c>
    </row>
    <row r="99" spans="1:12" x14ac:dyDescent="0.3">
      <c r="A99" t="s">
        <v>577</v>
      </c>
      <c r="B99" t="s">
        <v>578</v>
      </c>
      <c r="C99" t="s">
        <v>579</v>
      </c>
      <c r="D99" t="s">
        <v>305</v>
      </c>
      <c r="E99">
        <v>1</v>
      </c>
      <c r="F99" t="s">
        <v>283</v>
      </c>
      <c r="G99" s="1">
        <v>45368</v>
      </c>
      <c r="H99" t="s">
        <v>1041</v>
      </c>
      <c r="I99">
        <v>24456</v>
      </c>
      <c r="J99" t="s">
        <v>1042</v>
      </c>
      <c r="K99" t="s">
        <v>1046</v>
      </c>
      <c r="L99" t="str">
        <f>TEXT(Tenants[Payment_Date],"mmm")</f>
        <v>Mar</v>
      </c>
    </row>
    <row r="100" spans="1:12" x14ac:dyDescent="0.3">
      <c r="A100" t="s">
        <v>580</v>
      </c>
      <c r="B100" t="s">
        <v>581</v>
      </c>
      <c r="C100" t="s">
        <v>582</v>
      </c>
      <c r="D100" t="s">
        <v>333</v>
      </c>
      <c r="E100">
        <v>5</v>
      </c>
      <c r="F100" t="s">
        <v>283</v>
      </c>
      <c r="G100" s="1">
        <v>45373</v>
      </c>
      <c r="H100" t="s">
        <v>1041</v>
      </c>
      <c r="I100">
        <v>19981</v>
      </c>
      <c r="J100" t="s">
        <v>1045</v>
      </c>
      <c r="K100" t="s">
        <v>1046</v>
      </c>
      <c r="L100" t="str">
        <f>TEXT(Tenants[Payment_Date],"mmm")</f>
        <v>Mar</v>
      </c>
    </row>
    <row r="101" spans="1:12" x14ac:dyDescent="0.3">
      <c r="A101" t="s">
        <v>583</v>
      </c>
      <c r="B101" t="s">
        <v>584</v>
      </c>
      <c r="C101" t="s">
        <v>585</v>
      </c>
      <c r="D101" t="s">
        <v>305</v>
      </c>
      <c r="E101">
        <v>1</v>
      </c>
      <c r="F101" t="s">
        <v>283</v>
      </c>
      <c r="G101" s="1">
        <v>45673</v>
      </c>
      <c r="H101" t="s">
        <v>1061</v>
      </c>
      <c r="I101">
        <v>43245</v>
      </c>
      <c r="J101" t="s">
        <v>1049</v>
      </c>
      <c r="K101" t="s">
        <v>1043</v>
      </c>
      <c r="L101" t="str">
        <f>TEXT(Tenants[Payment_Date],"mmm")</f>
        <v>Jan</v>
      </c>
    </row>
    <row r="102" spans="1:12" x14ac:dyDescent="0.3">
      <c r="A102" t="s">
        <v>586</v>
      </c>
      <c r="B102" t="s">
        <v>587</v>
      </c>
      <c r="C102" t="s">
        <v>588</v>
      </c>
      <c r="D102" t="s">
        <v>282</v>
      </c>
      <c r="E102">
        <v>3</v>
      </c>
      <c r="F102" t="s">
        <v>292</v>
      </c>
      <c r="G102" s="1">
        <v>45518</v>
      </c>
      <c r="H102" t="s">
        <v>1044</v>
      </c>
      <c r="I102">
        <v>54391</v>
      </c>
      <c r="J102" t="s">
        <v>1042</v>
      </c>
      <c r="K102" t="s">
        <v>1046</v>
      </c>
      <c r="L102" t="str">
        <f>TEXT(Tenants[Payment_Date],"mmm")</f>
        <v>Aug</v>
      </c>
    </row>
    <row r="103" spans="1:12" x14ac:dyDescent="0.3">
      <c r="A103" t="s">
        <v>589</v>
      </c>
      <c r="B103" t="s">
        <v>590</v>
      </c>
      <c r="C103" t="s">
        <v>591</v>
      </c>
      <c r="D103" t="s">
        <v>333</v>
      </c>
      <c r="E103">
        <v>4</v>
      </c>
      <c r="F103" t="s">
        <v>292</v>
      </c>
      <c r="G103" s="1">
        <v>45734</v>
      </c>
      <c r="H103" t="s">
        <v>1059</v>
      </c>
      <c r="I103">
        <v>55695</v>
      </c>
      <c r="J103" t="s">
        <v>1042</v>
      </c>
      <c r="K103" t="s">
        <v>1043</v>
      </c>
      <c r="L103" t="str">
        <f>TEXT(Tenants[Payment_Date],"mmm")</f>
        <v>Mar</v>
      </c>
    </row>
    <row r="104" spans="1:12" x14ac:dyDescent="0.3">
      <c r="A104" t="s">
        <v>592</v>
      </c>
      <c r="B104" t="s">
        <v>593</v>
      </c>
      <c r="C104" t="s">
        <v>594</v>
      </c>
      <c r="D104" t="s">
        <v>305</v>
      </c>
      <c r="E104">
        <v>2</v>
      </c>
      <c r="F104" t="s">
        <v>292</v>
      </c>
      <c r="G104" s="1">
        <v>45719</v>
      </c>
      <c r="H104" t="s">
        <v>1059</v>
      </c>
      <c r="I104">
        <v>19584</v>
      </c>
      <c r="J104" t="s">
        <v>1042</v>
      </c>
      <c r="K104" t="s">
        <v>1043</v>
      </c>
      <c r="L104" t="str">
        <f>TEXT(Tenants[Payment_Date],"mmm")</f>
        <v>Mar</v>
      </c>
    </row>
    <row r="105" spans="1:12" x14ac:dyDescent="0.3">
      <c r="A105" t="s">
        <v>595</v>
      </c>
      <c r="B105" t="s">
        <v>596</v>
      </c>
      <c r="C105" t="s">
        <v>597</v>
      </c>
      <c r="D105" t="s">
        <v>333</v>
      </c>
      <c r="E105">
        <v>2</v>
      </c>
      <c r="F105" t="s">
        <v>292</v>
      </c>
      <c r="G105" s="1">
        <v>45475</v>
      </c>
      <c r="H105" t="s">
        <v>1048</v>
      </c>
      <c r="I105">
        <v>27463</v>
      </c>
      <c r="J105" t="s">
        <v>1045</v>
      </c>
      <c r="K105" t="s">
        <v>1046</v>
      </c>
      <c r="L105" t="str">
        <f>TEXT(Tenants[Payment_Date],"mmm")</f>
        <v>Jul</v>
      </c>
    </row>
    <row r="106" spans="1:12" x14ac:dyDescent="0.3">
      <c r="A106" t="s">
        <v>598</v>
      </c>
      <c r="B106" t="s">
        <v>599</v>
      </c>
      <c r="C106" t="s">
        <v>600</v>
      </c>
      <c r="D106" t="s">
        <v>333</v>
      </c>
      <c r="E106">
        <v>3</v>
      </c>
      <c r="F106" t="s">
        <v>283</v>
      </c>
      <c r="G106" s="1">
        <v>45296</v>
      </c>
      <c r="H106" t="s">
        <v>1053</v>
      </c>
      <c r="I106">
        <v>54298</v>
      </c>
      <c r="J106" t="s">
        <v>1042</v>
      </c>
      <c r="K106" t="s">
        <v>1043</v>
      </c>
      <c r="L106" t="str">
        <f>TEXT(Tenants[Payment_Date],"mmm")</f>
        <v>Jan</v>
      </c>
    </row>
    <row r="107" spans="1:12" x14ac:dyDescent="0.3">
      <c r="A107" t="s">
        <v>601</v>
      </c>
      <c r="B107" t="s">
        <v>602</v>
      </c>
      <c r="C107" t="s">
        <v>603</v>
      </c>
      <c r="D107" t="s">
        <v>305</v>
      </c>
      <c r="E107">
        <v>3</v>
      </c>
      <c r="F107" t="s">
        <v>283</v>
      </c>
      <c r="G107" s="1">
        <v>45613</v>
      </c>
      <c r="H107" t="s">
        <v>1047</v>
      </c>
      <c r="I107">
        <v>33823</v>
      </c>
      <c r="J107" t="s">
        <v>1042</v>
      </c>
      <c r="K107" t="s">
        <v>1046</v>
      </c>
      <c r="L107" t="str">
        <f>TEXT(Tenants[Payment_Date],"mmm")</f>
        <v>Nov</v>
      </c>
    </row>
    <row r="108" spans="1:12" x14ac:dyDescent="0.3">
      <c r="A108" t="s">
        <v>604</v>
      </c>
      <c r="B108" t="s">
        <v>605</v>
      </c>
      <c r="C108" t="s">
        <v>606</v>
      </c>
      <c r="D108" t="s">
        <v>291</v>
      </c>
      <c r="E108">
        <v>5</v>
      </c>
      <c r="F108" t="s">
        <v>283</v>
      </c>
      <c r="G108" s="1">
        <v>45608</v>
      </c>
      <c r="H108" t="s">
        <v>1047</v>
      </c>
      <c r="I108">
        <v>57826</v>
      </c>
      <c r="J108" t="s">
        <v>1042</v>
      </c>
      <c r="K108" t="s">
        <v>1046</v>
      </c>
      <c r="L108" t="str">
        <f>TEXT(Tenants[Payment_Date],"mmm")</f>
        <v>Nov</v>
      </c>
    </row>
    <row r="109" spans="1:12" x14ac:dyDescent="0.3">
      <c r="A109" t="s">
        <v>607</v>
      </c>
      <c r="B109" t="s">
        <v>608</v>
      </c>
      <c r="C109" t="s">
        <v>609</v>
      </c>
      <c r="D109" t="s">
        <v>305</v>
      </c>
      <c r="E109">
        <v>6</v>
      </c>
      <c r="F109" t="s">
        <v>292</v>
      </c>
      <c r="G109" s="1">
        <v>45362</v>
      </c>
      <c r="H109" t="s">
        <v>1041</v>
      </c>
      <c r="I109">
        <v>12103</v>
      </c>
      <c r="J109" t="s">
        <v>1042</v>
      </c>
      <c r="K109" t="s">
        <v>1050</v>
      </c>
      <c r="L109" t="str">
        <f>TEXT(Tenants[Payment_Date],"mmm")</f>
        <v>Mar</v>
      </c>
    </row>
    <row r="110" spans="1:12" x14ac:dyDescent="0.3">
      <c r="A110" t="s">
        <v>610</v>
      </c>
      <c r="B110" t="s">
        <v>611</v>
      </c>
      <c r="C110" t="s">
        <v>612</v>
      </c>
      <c r="D110" t="s">
        <v>287</v>
      </c>
      <c r="E110">
        <v>5</v>
      </c>
      <c r="F110" t="s">
        <v>283</v>
      </c>
      <c r="G110" s="1">
        <v>45430</v>
      </c>
      <c r="H110" t="s">
        <v>1058</v>
      </c>
      <c r="I110">
        <v>23579</v>
      </c>
      <c r="J110" t="s">
        <v>1042</v>
      </c>
      <c r="K110" t="s">
        <v>1043</v>
      </c>
      <c r="L110" t="str">
        <f>TEXT(Tenants[Payment_Date],"mmm")</f>
        <v>May</v>
      </c>
    </row>
    <row r="111" spans="1:12" x14ac:dyDescent="0.3">
      <c r="A111" t="s">
        <v>613</v>
      </c>
      <c r="B111" t="s">
        <v>614</v>
      </c>
      <c r="C111" t="s">
        <v>615</v>
      </c>
      <c r="D111" t="s">
        <v>282</v>
      </c>
      <c r="E111">
        <v>5</v>
      </c>
      <c r="F111" t="s">
        <v>283</v>
      </c>
      <c r="G111" s="1">
        <v>45553</v>
      </c>
      <c r="H111" t="s">
        <v>1054</v>
      </c>
      <c r="I111">
        <v>27313</v>
      </c>
      <c r="J111" t="s">
        <v>1045</v>
      </c>
      <c r="K111" t="s">
        <v>1050</v>
      </c>
      <c r="L111" t="str">
        <f>TEXT(Tenants[Payment_Date],"mmm")</f>
        <v>Sep</v>
      </c>
    </row>
    <row r="112" spans="1:12" x14ac:dyDescent="0.3">
      <c r="A112" t="s">
        <v>616</v>
      </c>
      <c r="B112" t="s">
        <v>617</v>
      </c>
      <c r="C112" t="s">
        <v>618</v>
      </c>
      <c r="D112" t="s">
        <v>291</v>
      </c>
      <c r="E112">
        <v>3</v>
      </c>
      <c r="F112" t="s">
        <v>283</v>
      </c>
      <c r="G112" s="1">
        <v>45311</v>
      </c>
      <c r="H112" t="s">
        <v>1053</v>
      </c>
      <c r="I112">
        <v>19948</v>
      </c>
      <c r="J112" t="s">
        <v>1045</v>
      </c>
      <c r="K112" t="s">
        <v>1050</v>
      </c>
      <c r="L112" t="str">
        <f>TEXT(Tenants[Payment_Date],"mmm")</f>
        <v>Jan</v>
      </c>
    </row>
    <row r="113" spans="1:12" x14ac:dyDescent="0.3">
      <c r="A113" t="s">
        <v>619</v>
      </c>
      <c r="B113" t="s">
        <v>620</v>
      </c>
      <c r="C113" t="s">
        <v>621</v>
      </c>
      <c r="D113" t="s">
        <v>305</v>
      </c>
      <c r="E113">
        <v>1</v>
      </c>
      <c r="F113" t="s">
        <v>283</v>
      </c>
      <c r="G113" s="1">
        <v>45349</v>
      </c>
      <c r="H113" t="s">
        <v>1052</v>
      </c>
      <c r="I113">
        <v>12172</v>
      </c>
      <c r="J113" t="s">
        <v>1045</v>
      </c>
      <c r="K113" t="s">
        <v>1046</v>
      </c>
      <c r="L113" t="str">
        <f>TEXT(Tenants[Payment_Date],"mmm")</f>
        <v>Feb</v>
      </c>
    </row>
    <row r="114" spans="1:12" x14ac:dyDescent="0.3">
      <c r="A114" t="s">
        <v>622</v>
      </c>
      <c r="B114" t="s">
        <v>623</v>
      </c>
      <c r="C114" t="s">
        <v>624</v>
      </c>
      <c r="D114" t="s">
        <v>333</v>
      </c>
      <c r="E114">
        <v>1</v>
      </c>
      <c r="F114" t="s">
        <v>283</v>
      </c>
      <c r="G114" s="1">
        <v>45440</v>
      </c>
      <c r="H114" t="s">
        <v>1058</v>
      </c>
      <c r="I114">
        <v>38457</v>
      </c>
      <c r="J114" t="s">
        <v>1049</v>
      </c>
      <c r="K114" t="s">
        <v>1046</v>
      </c>
      <c r="L114" t="str">
        <f>TEXT(Tenants[Payment_Date],"mmm")</f>
        <v>May</v>
      </c>
    </row>
    <row r="115" spans="1:12" x14ac:dyDescent="0.3">
      <c r="A115" t="s">
        <v>625</v>
      </c>
      <c r="B115" t="s">
        <v>626</v>
      </c>
      <c r="C115" t="s">
        <v>627</v>
      </c>
      <c r="D115" t="s">
        <v>282</v>
      </c>
      <c r="E115">
        <v>3</v>
      </c>
      <c r="F115" t="s">
        <v>292</v>
      </c>
      <c r="G115" s="1">
        <v>45378</v>
      </c>
      <c r="H115" t="s">
        <v>1041</v>
      </c>
      <c r="I115">
        <v>59709</v>
      </c>
      <c r="J115" t="s">
        <v>1042</v>
      </c>
      <c r="K115" t="s">
        <v>1043</v>
      </c>
      <c r="L115" t="str">
        <f>TEXT(Tenants[Payment_Date],"mmm")</f>
        <v>Mar</v>
      </c>
    </row>
    <row r="116" spans="1:12" x14ac:dyDescent="0.3">
      <c r="A116" t="s">
        <v>628</v>
      </c>
      <c r="B116" t="s">
        <v>629</v>
      </c>
      <c r="C116" t="s">
        <v>630</v>
      </c>
      <c r="D116" t="s">
        <v>287</v>
      </c>
      <c r="E116">
        <v>4</v>
      </c>
      <c r="F116" t="s">
        <v>292</v>
      </c>
      <c r="G116" s="1">
        <v>45368</v>
      </c>
      <c r="H116" t="s">
        <v>1041</v>
      </c>
      <c r="I116">
        <v>8579</v>
      </c>
      <c r="J116" t="s">
        <v>1045</v>
      </c>
      <c r="K116" t="s">
        <v>1043</v>
      </c>
      <c r="L116" t="str">
        <f>TEXT(Tenants[Payment_Date],"mmm")</f>
        <v>Mar</v>
      </c>
    </row>
    <row r="117" spans="1:12" x14ac:dyDescent="0.3">
      <c r="A117" t="s">
        <v>631</v>
      </c>
      <c r="B117" t="s">
        <v>632</v>
      </c>
      <c r="C117" t="s">
        <v>633</v>
      </c>
      <c r="D117" t="s">
        <v>291</v>
      </c>
      <c r="E117">
        <v>5</v>
      </c>
      <c r="F117" t="s">
        <v>292</v>
      </c>
      <c r="G117" s="1">
        <v>45410</v>
      </c>
      <c r="H117" t="s">
        <v>1060</v>
      </c>
      <c r="I117">
        <v>56541</v>
      </c>
      <c r="J117" t="s">
        <v>1042</v>
      </c>
      <c r="K117" t="s">
        <v>1046</v>
      </c>
      <c r="L117" t="str">
        <f>TEXT(Tenants[Payment_Date],"mmm")</f>
        <v>Apr</v>
      </c>
    </row>
    <row r="118" spans="1:12" x14ac:dyDescent="0.3">
      <c r="A118" t="s">
        <v>634</v>
      </c>
      <c r="B118" t="s">
        <v>635</v>
      </c>
      <c r="C118" t="s">
        <v>636</v>
      </c>
      <c r="D118" t="s">
        <v>333</v>
      </c>
      <c r="E118">
        <v>3</v>
      </c>
      <c r="F118" t="s">
        <v>292</v>
      </c>
      <c r="G118" s="1">
        <v>45559</v>
      </c>
      <c r="H118" t="s">
        <v>1054</v>
      </c>
      <c r="I118">
        <v>28105</v>
      </c>
      <c r="J118" t="s">
        <v>1049</v>
      </c>
      <c r="K118" t="s">
        <v>1050</v>
      </c>
      <c r="L118" t="str">
        <f>TEXT(Tenants[Payment_Date],"mmm")</f>
        <v>Sep</v>
      </c>
    </row>
    <row r="119" spans="1:12" x14ac:dyDescent="0.3">
      <c r="A119" t="s">
        <v>637</v>
      </c>
      <c r="B119" t="s">
        <v>638</v>
      </c>
      <c r="C119" t="s">
        <v>639</v>
      </c>
      <c r="D119" t="s">
        <v>305</v>
      </c>
      <c r="E119">
        <v>2</v>
      </c>
      <c r="F119" t="s">
        <v>283</v>
      </c>
      <c r="G119" s="1">
        <v>45464</v>
      </c>
      <c r="H119" t="s">
        <v>1056</v>
      </c>
      <c r="I119">
        <v>30408</v>
      </c>
      <c r="J119" t="s">
        <v>1042</v>
      </c>
      <c r="K119" t="s">
        <v>1043</v>
      </c>
      <c r="L119" t="str">
        <f>TEXT(Tenants[Payment_Date],"mmm")</f>
        <v>Jun</v>
      </c>
    </row>
    <row r="120" spans="1:12" x14ac:dyDescent="0.3">
      <c r="A120" t="s">
        <v>640</v>
      </c>
      <c r="B120" t="s">
        <v>641</v>
      </c>
      <c r="C120" t="s">
        <v>642</v>
      </c>
      <c r="D120" t="s">
        <v>282</v>
      </c>
      <c r="E120">
        <v>5</v>
      </c>
      <c r="F120" t="s">
        <v>292</v>
      </c>
      <c r="G120" s="1">
        <v>45695</v>
      </c>
      <c r="H120" t="s">
        <v>1051</v>
      </c>
      <c r="I120">
        <v>37375</v>
      </c>
      <c r="J120" t="s">
        <v>1045</v>
      </c>
      <c r="K120" t="s">
        <v>1050</v>
      </c>
      <c r="L120" t="str">
        <f>TEXT(Tenants[Payment_Date],"mmm")</f>
        <v>Feb</v>
      </c>
    </row>
    <row r="121" spans="1:12" x14ac:dyDescent="0.3">
      <c r="A121" t="s">
        <v>643</v>
      </c>
      <c r="B121" t="s">
        <v>644</v>
      </c>
      <c r="C121" t="s">
        <v>645</v>
      </c>
      <c r="D121" t="s">
        <v>305</v>
      </c>
      <c r="E121">
        <v>6</v>
      </c>
      <c r="F121" t="s">
        <v>283</v>
      </c>
      <c r="G121" s="1">
        <v>45460</v>
      </c>
      <c r="H121" t="s">
        <v>1056</v>
      </c>
      <c r="I121">
        <v>10622</v>
      </c>
      <c r="J121" t="s">
        <v>1049</v>
      </c>
      <c r="K121" t="s">
        <v>1046</v>
      </c>
      <c r="L121" t="str">
        <f>TEXT(Tenants[Payment_Date],"mmm")</f>
        <v>Jun</v>
      </c>
    </row>
    <row r="122" spans="1:12" x14ac:dyDescent="0.3">
      <c r="A122" t="s">
        <v>646</v>
      </c>
      <c r="B122" t="s">
        <v>647</v>
      </c>
      <c r="C122" t="s">
        <v>648</v>
      </c>
      <c r="D122" t="s">
        <v>291</v>
      </c>
      <c r="E122">
        <v>6</v>
      </c>
      <c r="F122" t="s">
        <v>292</v>
      </c>
      <c r="G122" s="1">
        <v>45692</v>
      </c>
      <c r="H122" t="s">
        <v>1051</v>
      </c>
      <c r="I122">
        <v>48931</v>
      </c>
      <c r="J122" t="s">
        <v>1049</v>
      </c>
      <c r="K122" t="s">
        <v>1043</v>
      </c>
      <c r="L122" t="str">
        <f>TEXT(Tenants[Payment_Date],"mmm")</f>
        <v>Feb</v>
      </c>
    </row>
    <row r="123" spans="1:12" x14ac:dyDescent="0.3">
      <c r="A123" t="s">
        <v>649</v>
      </c>
      <c r="B123" t="s">
        <v>650</v>
      </c>
      <c r="C123" t="s">
        <v>651</v>
      </c>
      <c r="D123" t="s">
        <v>305</v>
      </c>
      <c r="E123">
        <v>2</v>
      </c>
      <c r="F123" t="s">
        <v>292</v>
      </c>
      <c r="G123" s="1">
        <v>45640</v>
      </c>
      <c r="H123" t="s">
        <v>1057</v>
      </c>
      <c r="I123">
        <v>9196</v>
      </c>
      <c r="J123" t="s">
        <v>1042</v>
      </c>
      <c r="K123" t="s">
        <v>1050</v>
      </c>
      <c r="L123" t="str">
        <f>TEXT(Tenants[Payment_Date],"mmm")</f>
        <v>Dec</v>
      </c>
    </row>
    <row r="124" spans="1:12" x14ac:dyDescent="0.3">
      <c r="A124" t="s">
        <v>652</v>
      </c>
      <c r="B124" t="s">
        <v>653</v>
      </c>
      <c r="C124" t="s">
        <v>654</v>
      </c>
      <c r="D124" t="s">
        <v>291</v>
      </c>
      <c r="E124">
        <v>2</v>
      </c>
      <c r="F124" t="s">
        <v>283</v>
      </c>
      <c r="G124" s="1">
        <v>45492</v>
      </c>
      <c r="H124" t="s">
        <v>1048</v>
      </c>
      <c r="I124">
        <v>17796</v>
      </c>
      <c r="J124" t="s">
        <v>1042</v>
      </c>
      <c r="K124" t="s">
        <v>1050</v>
      </c>
      <c r="L124" t="str">
        <f>TEXT(Tenants[Payment_Date],"mmm")</f>
        <v>Jul</v>
      </c>
    </row>
    <row r="125" spans="1:12" x14ac:dyDescent="0.3">
      <c r="A125" t="s">
        <v>655</v>
      </c>
      <c r="B125" t="s">
        <v>656</v>
      </c>
      <c r="C125" t="s">
        <v>657</v>
      </c>
      <c r="D125" t="s">
        <v>282</v>
      </c>
      <c r="E125">
        <v>3</v>
      </c>
      <c r="F125" t="s">
        <v>283</v>
      </c>
      <c r="G125" s="1">
        <v>45416</v>
      </c>
      <c r="H125" t="s">
        <v>1058</v>
      </c>
      <c r="I125">
        <v>19596</v>
      </c>
      <c r="J125" t="s">
        <v>1045</v>
      </c>
      <c r="K125" t="s">
        <v>1043</v>
      </c>
      <c r="L125" t="str">
        <f>TEXT(Tenants[Payment_Date],"mmm")</f>
        <v>May</v>
      </c>
    </row>
    <row r="126" spans="1:12" x14ac:dyDescent="0.3">
      <c r="A126" t="s">
        <v>658</v>
      </c>
      <c r="B126" t="s">
        <v>659</v>
      </c>
      <c r="C126" t="s">
        <v>660</v>
      </c>
      <c r="D126" t="s">
        <v>291</v>
      </c>
      <c r="E126">
        <v>6</v>
      </c>
      <c r="F126" t="s">
        <v>283</v>
      </c>
      <c r="G126" s="1">
        <v>45469</v>
      </c>
      <c r="H126" t="s">
        <v>1056</v>
      </c>
      <c r="I126">
        <v>24176</v>
      </c>
      <c r="J126" t="s">
        <v>1045</v>
      </c>
      <c r="K126" t="s">
        <v>1046</v>
      </c>
      <c r="L126" t="str">
        <f>TEXT(Tenants[Payment_Date],"mmm")</f>
        <v>Jun</v>
      </c>
    </row>
    <row r="127" spans="1:12" x14ac:dyDescent="0.3">
      <c r="A127" t="s">
        <v>661</v>
      </c>
      <c r="B127" t="s">
        <v>662</v>
      </c>
      <c r="C127" t="s">
        <v>663</v>
      </c>
      <c r="D127" t="s">
        <v>333</v>
      </c>
      <c r="E127">
        <v>5</v>
      </c>
      <c r="F127" t="s">
        <v>292</v>
      </c>
      <c r="G127" s="1">
        <v>45517</v>
      </c>
      <c r="H127" t="s">
        <v>1044</v>
      </c>
      <c r="I127">
        <v>45981</v>
      </c>
      <c r="J127" t="s">
        <v>1045</v>
      </c>
      <c r="K127" t="s">
        <v>1046</v>
      </c>
      <c r="L127" t="str">
        <f>TEXT(Tenants[Payment_Date],"mmm")</f>
        <v>Aug</v>
      </c>
    </row>
    <row r="128" spans="1:12" x14ac:dyDescent="0.3">
      <c r="A128" t="s">
        <v>664</v>
      </c>
      <c r="B128" t="s">
        <v>665</v>
      </c>
      <c r="C128" t="s">
        <v>666</v>
      </c>
      <c r="D128" t="s">
        <v>305</v>
      </c>
      <c r="E128">
        <v>5</v>
      </c>
      <c r="F128" t="s">
        <v>292</v>
      </c>
      <c r="G128" s="1">
        <v>45435</v>
      </c>
      <c r="H128" t="s">
        <v>1058</v>
      </c>
      <c r="I128">
        <v>31653</v>
      </c>
      <c r="J128" t="s">
        <v>1045</v>
      </c>
      <c r="K128" t="s">
        <v>1050</v>
      </c>
      <c r="L128" t="str">
        <f>TEXT(Tenants[Payment_Date],"mmm")</f>
        <v>May</v>
      </c>
    </row>
    <row r="129" spans="1:12" x14ac:dyDescent="0.3">
      <c r="A129" t="s">
        <v>667</v>
      </c>
      <c r="B129" t="s">
        <v>668</v>
      </c>
      <c r="C129" t="s">
        <v>669</v>
      </c>
      <c r="D129" t="s">
        <v>282</v>
      </c>
      <c r="E129">
        <v>1</v>
      </c>
      <c r="F129" t="s">
        <v>283</v>
      </c>
      <c r="G129" s="1">
        <v>45520</v>
      </c>
      <c r="H129" t="s">
        <v>1044</v>
      </c>
      <c r="I129">
        <v>44925</v>
      </c>
      <c r="J129" t="s">
        <v>1045</v>
      </c>
      <c r="K129" t="s">
        <v>1050</v>
      </c>
      <c r="L129" t="str">
        <f>TEXT(Tenants[Payment_Date],"mmm")</f>
        <v>Aug</v>
      </c>
    </row>
    <row r="130" spans="1:12" x14ac:dyDescent="0.3">
      <c r="A130" t="s">
        <v>670</v>
      </c>
      <c r="B130" t="s">
        <v>671</v>
      </c>
      <c r="C130" t="s">
        <v>672</v>
      </c>
      <c r="D130" t="s">
        <v>282</v>
      </c>
      <c r="E130">
        <v>2</v>
      </c>
      <c r="F130" t="s">
        <v>283</v>
      </c>
      <c r="G130" s="1">
        <v>45673</v>
      </c>
      <c r="H130" t="s">
        <v>1061</v>
      </c>
      <c r="I130">
        <v>37104</v>
      </c>
      <c r="J130" t="s">
        <v>1042</v>
      </c>
      <c r="K130" t="s">
        <v>1050</v>
      </c>
      <c r="L130" t="str">
        <f>TEXT(Tenants[Payment_Date],"mmm")</f>
        <v>Jan</v>
      </c>
    </row>
    <row r="131" spans="1:12" x14ac:dyDescent="0.3">
      <c r="A131" t="s">
        <v>673</v>
      </c>
      <c r="B131" t="s">
        <v>674</v>
      </c>
      <c r="C131" t="s">
        <v>675</v>
      </c>
      <c r="D131" t="s">
        <v>287</v>
      </c>
      <c r="E131">
        <v>2</v>
      </c>
      <c r="F131" t="s">
        <v>283</v>
      </c>
      <c r="G131" s="1">
        <v>45378</v>
      </c>
      <c r="H131" t="s">
        <v>1041</v>
      </c>
      <c r="I131">
        <v>48092</v>
      </c>
      <c r="J131" t="s">
        <v>1045</v>
      </c>
      <c r="K131" t="s">
        <v>1046</v>
      </c>
      <c r="L131" t="str">
        <f>TEXT(Tenants[Payment_Date],"mmm")</f>
        <v>Mar</v>
      </c>
    </row>
    <row r="132" spans="1:12" x14ac:dyDescent="0.3">
      <c r="A132" t="s">
        <v>676</v>
      </c>
      <c r="B132" t="s">
        <v>677</v>
      </c>
      <c r="C132" t="s">
        <v>678</v>
      </c>
      <c r="D132" t="s">
        <v>282</v>
      </c>
      <c r="E132">
        <v>6</v>
      </c>
      <c r="F132" t="s">
        <v>292</v>
      </c>
      <c r="G132" s="1">
        <v>45328</v>
      </c>
      <c r="H132" t="s">
        <v>1052</v>
      </c>
      <c r="I132">
        <v>18740</v>
      </c>
      <c r="J132" t="s">
        <v>1042</v>
      </c>
      <c r="K132" t="s">
        <v>1046</v>
      </c>
      <c r="L132" t="str">
        <f>TEXT(Tenants[Payment_Date],"mmm")</f>
        <v>Feb</v>
      </c>
    </row>
    <row r="133" spans="1:12" x14ac:dyDescent="0.3">
      <c r="A133" t="s">
        <v>679</v>
      </c>
      <c r="B133" t="s">
        <v>680</v>
      </c>
      <c r="C133" t="s">
        <v>681</v>
      </c>
      <c r="D133" t="s">
        <v>287</v>
      </c>
      <c r="E133">
        <v>2</v>
      </c>
      <c r="F133" t="s">
        <v>283</v>
      </c>
      <c r="G133" s="1">
        <v>45428</v>
      </c>
      <c r="H133" t="s">
        <v>1058</v>
      </c>
      <c r="I133">
        <v>30804</v>
      </c>
      <c r="J133" t="s">
        <v>1049</v>
      </c>
      <c r="K133" t="s">
        <v>1046</v>
      </c>
      <c r="L133" t="str">
        <f>TEXT(Tenants[Payment_Date],"mmm")</f>
        <v>May</v>
      </c>
    </row>
    <row r="134" spans="1:12" x14ac:dyDescent="0.3">
      <c r="A134" t="s">
        <v>682</v>
      </c>
      <c r="B134" t="s">
        <v>683</v>
      </c>
      <c r="C134" t="s">
        <v>684</v>
      </c>
      <c r="D134" t="s">
        <v>282</v>
      </c>
      <c r="E134">
        <v>3</v>
      </c>
      <c r="F134" t="s">
        <v>292</v>
      </c>
      <c r="G134" s="1">
        <v>45360</v>
      </c>
      <c r="H134" t="s">
        <v>1041</v>
      </c>
      <c r="I134">
        <v>9260</v>
      </c>
      <c r="J134" t="s">
        <v>1042</v>
      </c>
      <c r="K134" t="s">
        <v>1043</v>
      </c>
      <c r="L134" t="str">
        <f>TEXT(Tenants[Payment_Date],"mmm")</f>
        <v>Mar</v>
      </c>
    </row>
    <row r="135" spans="1:12" x14ac:dyDescent="0.3">
      <c r="A135" t="s">
        <v>685</v>
      </c>
      <c r="B135" t="s">
        <v>686</v>
      </c>
      <c r="C135" t="s">
        <v>687</v>
      </c>
      <c r="D135" t="s">
        <v>287</v>
      </c>
      <c r="E135">
        <v>2</v>
      </c>
      <c r="F135" t="s">
        <v>292</v>
      </c>
      <c r="G135" s="1">
        <v>45458</v>
      </c>
      <c r="H135" t="s">
        <v>1056</v>
      </c>
      <c r="I135">
        <v>53156</v>
      </c>
      <c r="J135" t="s">
        <v>1045</v>
      </c>
      <c r="K135" t="s">
        <v>1050</v>
      </c>
      <c r="L135" t="str">
        <f>TEXT(Tenants[Payment_Date],"mmm")</f>
        <v>Jun</v>
      </c>
    </row>
    <row r="136" spans="1:12" x14ac:dyDescent="0.3">
      <c r="A136" t="s">
        <v>688</v>
      </c>
      <c r="B136" t="s">
        <v>689</v>
      </c>
      <c r="C136" t="s">
        <v>690</v>
      </c>
      <c r="D136" t="s">
        <v>287</v>
      </c>
      <c r="E136">
        <v>1</v>
      </c>
      <c r="F136" t="s">
        <v>292</v>
      </c>
      <c r="G136" s="1">
        <v>45472</v>
      </c>
      <c r="H136" t="s">
        <v>1056</v>
      </c>
      <c r="I136">
        <v>28214</v>
      </c>
      <c r="J136" t="s">
        <v>1045</v>
      </c>
      <c r="K136" t="s">
        <v>1046</v>
      </c>
      <c r="L136" t="str">
        <f>TEXT(Tenants[Payment_Date],"mmm")</f>
        <v>Jun</v>
      </c>
    </row>
    <row r="137" spans="1:12" x14ac:dyDescent="0.3">
      <c r="A137" t="s">
        <v>691</v>
      </c>
      <c r="B137" t="s">
        <v>692</v>
      </c>
      <c r="C137" t="s">
        <v>693</v>
      </c>
      <c r="D137" t="s">
        <v>305</v>
      </c>
      <c r="E137">
        <v>5</v>
      </c>
      <c r="F137" t="s">
        <v>292</v>
      </c>
      <c r="G137" s="1">
        <v>45461</v>
      </c>
      <c r="H137" t="s">
        <v>1056</v>
      </c>
      <c r="I137">
        <v>44974</v>
      </c>
      <c r="J137" t="s">
        <v>1049</v>
      </c>
      <c r="K137" t="s">
        <v>1050</v>
      </c>
      <c r="L137" t="str">
        <f>TEXT(Tenants[Payment_Date],"mmm")</f>
        <v>Jun</v>
      </c>
    </row>
    <row r="138" spans="1:12" x14ac:dyDescent="0.3">
      <c r="A138" t="s">
        <v>694</v>
      </c>
      <c r="B138" t="s">
        <v>695</v>
      </c>
      <c r="C138" t="s">
        <v>696</v>
      </c>
      <c r="D138" t="s">
        <v>305</v>
      </c>
      <c r="E138">
        <v>2</v>
      </c>
      <c r="F138" t="s">
        <v>292</v>
      </c>
      <c r="G138" s="1">
        <v>45523</v>
      </c>
      <c r="H138" t="s">
        <v>1044</v>
      </c>
      <c r="I138">
        <v>30888</v>
      </c>
      <c r="J138" t="s">
        <v>1042</v>
      </c>
      <c r="K138" t="s">
        <v>1046</v>
      </c>
      <c r="L138" t="str">
        <f>TEXT(Tenants[Payment_Date],"mmm")</f>
        <v>Aug</v>
      </c>
    </row>
    <row r="139" spans="1:12" x14ac:dyDescent="0.3">
      <c r="A139" t="s">
        <v>697</v>
      </c>
      <c r="B139" t="s">
        <v>698</v>
      </c>
      <c r="C139" t="s">
        <v>699</v>
      </c>
      <c r="D139" t="s">
        <v>287</v>
      </c>
      <c r="E139">
        <v>6</v>
      </c>
      <c r="F139" t="s">
        <v>292</v>
      </c>
      <c r="G139" s="1">
        <v>45524</v>
      </c>
      <c r="H139" t="s">
        <v>1044</v>
      </c>
      <c r="I139">
        <v>38390</v>
      </c>
      <c r="J139" t="s">
        <v>1045</v>
      </c>
      <c r="K139" t="s">
        <v>1043</v>
      </c>
      <c r="L139" t="str">
        <f>TEXT(Tenants[Payment_Date],"mmm")</f>
        <v>Aug</v>
      </c>
    </row>
    <row r="140" spans="1:12" x14ac:dyDescent="0.3">
      <c r="A140" t="s">
        <v>700</v>
      </c>
      <c r="B140" t="s">
        <v>701</v>
      </c>
      <c r="C140" t="s">
        <v>702</v>
      </c>
      <c r="D140" t="s">
        <v>282</v>
      </c>
      <c r="E140">
        <v>5</v>
      </c>
      <c r="F140" t="s">
        <v>283</v>
      </c>
      <c r="G140" s="1">
        <v>45352</v>
      </c>
      <c r="H140" t="s">
        <v>1041</v>
      </c>
      <c r="I140">
        <v>24465</v>
      </c>
      <c r="J140" t="s">
        <v>1045</v>
      </c>
      <c r="K140" t="s">
        <v>1050</v>
      </c>
      <c r="L140" t="str">
        <f>TEXT(Tenants[Payment_Date],"mmm")</f>
        <v>Mar</v>
      </c>
    </row>
    <row r="141" spans="1:12" x14ac:dyDescent="0.3">
      <c r="A141" t="s">
        <v>703</v>
      </c>
      <c r="B141" t="s">
        <v>704</v>
      </c>
      <c r="C141" t="s">
        <v>705</v>
      </c>
      <c r="D141" t="s">
        <v>282</v>
      </c>
      <c r="E141">
        <v>2</v>
      </c>
      <c r="F141" t="s">
        <v>292</v>
      </c>
      <c r="G141" s="1">
        <v>45439</v>
      </c>
      <c r="H141" t="s">
        <v>1058</v>
      </c>
      <c r="I141">
        <v>12363</v>
      </c>
      <c r="J141" t="s">
        <v>1042</v>
      </c>
      <c r="K141" t="s">
        <v>1043</v>
      </c>
      <c r="L141" t="str">
        <f>TEXT(Tenants[Payment_Date],"mmm")</f>
        <v>May</v>
      </c>
    </row>
    <row r="142" spans="1:12" x14ac:dyDescent="0.3">
      <c r="A142" t="s">
        <v>706</v>
      </c>
      <c r="B142" t="s">
        <v>707</v>
      </c>
      <c r="C142" t="s">
        <v>708</v>
      </c>
      <c r="D142" t="s">
        <v>291</v>
      </c>
      <c r="E142">
        <v>5</v>
      </c>
      <c r="F142" t="s">
        <v>292</v>
      </c>
      <c r="G142" s="1">
        <v>45582</v>
      </c>
      <c r="H142" t="s">
        <v>1055</v>
      </c>
      <c r="I142">
        <v>57477</v>
      </c>
      <c r="J142" t="s">
        <v>1042</v>
      </c>
      <c r="K142" t="s">
        <v>1046</v>
      </c>
      <c r="L142" t="str">
        <f>TEXT(Tenants[Payment_Date],"mmm")</f>
        <v>Oct</v>
      </c>
    </row>
    <row r="143" spans="1:12" x14ac:dyDescent="0.3">
      <c r="A143" t="s">
        <v>709</v>
      </c>
      <c r="B143" t="s">
        <v>710</v>
      </c>
      <c r="C143" t="s">
        <v>711</v>
      </c>
      <c r="D143" t="s">
        <v>282</v>
      </c>
      <c r="E143">
        <v>2</v>
      </c>
      <c r="F143" t="s">
        <v>292</v>
      </c>
      <c r="G143" s="1">
        <v>45333</v>
      </c>
      <c r="H143" t="s">
        <v>1052</v>
      </c>
      <c r="I143">
        <v>31451</v>
      </c>
      <c r="J143" t="s">
        <v>1042</v>
      </c>
      <c r="K143" t="s">
        <v>1050</v>
      </c>
      <c r="L143" t="str">
        <f>TEXT(Tenants[Payment_Date],"mmm")</f>
        <v>Feb</v>
      </c>
    </row>
    <row r="144" spans="1:12" x14ac:dyDescent="0.3">
      <c r="A144" t="s">
        <v>712</v>
      </c>
      <c r="B144" t="s">
        <v>713</v>
      </c>
      <c r="C144" t="s">
        <v>714</v>
      </c>
      <c r="D144" t="s">
        <v>287</v>
      </c>
      <c r="E144">
        <v>2</v>
      </c>
      <c r="F144" t="s">
        <v>292</v>
      </c>
      <c r="G144" s="1">
        <v>45508</v>
      </c>
      <c r="H144" t="s">
        <v>1044</v>
      </c>
      <c r="I144">
        <v>34204</v>
      </c>
      <c r="J144" t="s">
        <v>1042</v>
      </c>
      <c r="K144" t="s">
        <v>1050</v>
      </c>
      <c r="L144" t="str">
        <f>TEXT(Tenants[Payment_Date],"mmm")</f>
        <v>Aug</v>
      </c>
    </row>
    <row r="145" spans="1:12" x14ac:dyDescent="0.3">
      <c r="A145" t="s">
        <v>715</v>
      </c>
      <c r="B145" t="s">
        <v>716</v>
      </c>
      <c r="C145" t="s">
        <v>717</v>
      </c>
      <c r="D145" t="s">
        <v>287</v>
      </c>
      <c r="E145">
        <v>2</v>
      </c>
      <c r="F145" t="s">
        <v>283</v>
      </c>
      <c r="G145" s="1">
        <v>45619</v>
      </c>
      <c r="H145" t="s">
        <v>1047</v>
      </c>
      <c r="I145">
        <v>29451</v>
      </c>
      <c r="J145" t="s">
        <v>1045</v>
      </c>
      <c r="K145" t="s">
        <v>1046</v>
      </c>
      <c r="L145" t="str">
        <f>TEXT(Tenants[Payment_Date],"mmm")</f>
        <v>Nov</v>
      </c>
    </row>
    <row r="146" spans="1:12" x14ac:dyDescent="0.3">
      <c r="A146" t="s">
        <v>718</v>
      </c>
      <c r="B146" t="s">
        <v>719</v>
      </c>
      <c r="C146" t="s">
        <v>720</v>
      </c>
      <c r="D146" t="s">
        <v>333</v>
      </c>
      <c r="E146">
        <v>4</v>
      </c>
      <c r="F146" t="s">
        <v>283</v>
      </c>
      <c r="G146" s="1">
        <v>45338</v>
      </c>
      <c r="H146" t="s">
        <v>1052</v>
      </c>
      <c r="I146">
        <v>9309</v>
      </c>
      <c r="J146" t="s">
        <v>1049</v>
      </c>
      <c r="K146" t="s">
        <v>1046</v>
      </c>
      <c r="L146" t="str">
        <f>TEXT(Tenants[Payment_Date],"mmm")</f>
        <v>Feb</v>
      </c>
    </row>
    <row r="147" spans="1:12" x14ac:dyDescent="0.3">
      <c r="A147" t="s">
        <v>721</v>
      </c>
      <c r="B147" t="s">
        <v>722</v>
      </c>
      <c r="C147" t="s">
        <v>723</v>
      </c>
      <c r="D147" t="s">
        <v>282</v>
      </c>
      <c r="E147">
        <v>4</v>
      </c>
      <c r="F147" t="s">
        <v>292</v>
      </c>
      <c r="G147" s="1">
        <v>45434</v>
      </c>
      <c r="H147" t="s">
        <v>1058</v>
      </c>
      <c r="I147">
        <v>53216</v>
      </c>
      <c r="J147" t="s">
        <v>1045</v>
      </c>
      <c r="K147" t="s">
        <v>1046</v>
      </c>
      <c r="L147" t="str">
        <f>TEXT(Tenants[Payment_Date],"mmm")</f>
        <v>May</v>
      </c>
    </row>
    <row r="148" spans="1:12" x14ac:dyDescent="0.3">
      <c r="A148" t="s">
        <v>724</v>
      </c>
      <c r="B148" t="s">
        <v>725</v>
      </c>
      <c r="C148" t="s">
        <v>726</v>
      </c>
      <c r="D148" t="s">
        <v>333</v>
      </c>
      <c r="E148">
        <v>6</v>
      </c>
      <c r="F148" t="s">
        <v>283</v>
      </c>
      <c r="G148" s="1">
        <v>45449</v>
      </c>
      <c r="H148" t="s">
        <v>1056</v>
      </c>
      <c r="I148">
        <v>27462</v>
      </c>
      <c r="J148" t="s">
        <v>1042</v>
      </c>
      <c r="K148" t="s">
        <v>1050</v>
      </c>
      <c r="L148" t="str">
        <f>TEXT(Tenants[Payment_Date],"mmm")</f>
        <v>Jun</v>
      </c>
    </row>
    <row r="149" spans="1:12" x14ac:dyDescent="0.3">
      <c r="A149" t="s">
        <v>727</v>
      </c>
      <c r="B149" t="s">
        <v>728</v>
      </c>
      <c r="C149" t="s">
        <v>729</v>
      </c>
      <c r="D149" t="s">
        <v>287</v>
      </c>
      <c r="E149">
        <v>5</v>
      </c>
      <c r="F149" t="s">
        <v>292</v>
      </c>
      <c r="G149" s="1">
        <v>45399</v>
      </c>
      <c r="H149" t="s">
        <v>1060</v>
      </c>
      <c r="I149">
        <v>42207</v>
      </c>
      <c r="J149" t="s">
        <v>1049</v>
      </c>
      <c r="K149" t="s">
        <v>1043</v>
      </c>
      <c r="L149" t="str">
        <f>TEXT(Tenants[Payment_Date],"mmm")</f>
        <v>Apr</v>
      </c>
    </row>
    <row r="150" spans="1:12" x14ac:dyDescent="0.3">
      <c r="A150" t="s">
        <v>730</v>
      </c>
      <c r="B150" t="s">
        <v>731</v>
      </c>
      <c r="C150" t="s">
        <v>732</v>
      </c>
      <c r="D150" t="s">
        <v>305</v>
      </c>
      <c r="E150">
        <v>4</v>
      </c>
      <c r="F150" t="s">
        <v>292</v>
      </c>
      <c r="G150" s="1">
        <v>45365</v>
      </c>
      <c r="H150" t="s">
        <v>1041</v>
      </c>
      <c r="I150">
        <v>27617</v>
      </c>
      <c r="J150" t="s">
        <v>1042</v>
      </c>
      <c r="K150" t="s">
        <v>1043</v>
      </c>
      <c r="L150" t="str">
        <f>TEXT(Tenants[Payment_Date],"mmm")</f>
        <v>Mar</v>
      </c>
    </row>
    <row r="151" spans="1:12" x14ac:dyDescent="0.3">
      <c r="A151" t="s">
        <v>733</v>
      </c>
      <c r="B151" t="s">
        <v>734</v>
      </c>
      <c r="C151" t="s">
        <v>735</v>
      </c>
      <c r="D151" t="s">
        <v>305</v>
      </c>
      <c r="E151">
        <v>4</v>
      </c>
      <c r="F151" t="s">
        <v>292</v>
      </c>
      <c r="G151" s="1">
        <v>45402</v>
      </c>
      <c r="H151" t="s">
        <v>1060</v>
      </c>
      <c r="I151">
        <v>48460</v>
      </c>
      <c r="J151" t="s">
        <v>1042</v>
      </c>
      <c r="K151" t="s">
        <v>1043</v>
      </c>
      <c r="L151" t="str">
        <f>TEXT(Tenants[Payment_Date],"mmm")</f>
        <v>Apr</v>
      </c>
    </row>
    <row r="152" spans="1:12" x14ac:dyDescent="0.3">
      <c r="A152" t="s">
        <v>736</v>
      </c>
      <c r="B152" t="s">
        <v>737</v>
      </c>
      <c r="C152" t="s">
        <v>738</v>
      </c>
      <c r="D152" t="s">
        <v>282</v>
      </c>
      <c r="E152">
        <v>1</v>
      </c>
      <c r="F152" t="s">
        <v>292</v>
      </c>
      <c r="G152" s="1">
        <v>45584</v>
      </c>
      <c r="H152" t="s">
        <v>1055</v>
      </c>
      <c r="I152">
        <v>18864</v>
      </c>
      <c r="J152" t="s">
        <v>1045</v>
      </c>
      <c r="K152" t="s">
        <v>1046</v>
      </c>
      <c r="L152" t="str">
        <f>TEXT(Tenants[Payment_Date],"mmm")</f>
        <v>Oct</v>
      </c>
    </row>
    <row r="153" spans="1:12" x14ac:dyDescent="0.3">
      <c r="A153" t="s">
        <v>739</v>
      </c>
      <c r="B153" t="s">
        <v>740</v>
      </c>
      <c r="C153" t="s">
        <v>741</v>
      </c>
      <c r="D153" t="s">
        <v>287</v>
      </c>
      <c r="E153">
        <v>3</v>
      </c>
      <c r="F153" t="s">
        <v>283</v>
      </c>
      <c r="G153" s="1">
        <v>45429</v>
      </c>
      <c r="H153" t="s">
        <v>1058</v>
      </c>
      <c r="I153">
        <v>53096</v>
      </c>
      <c r="J153" t="s">
        <v>1045</v>
      </c>
      <c r="K153" t="s">
        <v>1046</v>
      </c>
      <c r="L153" t="str">
        <f>TEXT(Tenants[Payment_Date],"mmm")</f>
        <v>May</v>
      </c>
    </row>
    <row r="154" spans="1:12" x14ac:dyDescent="0.3">
      <c r="A154" t="s">
        <v>742</v>
      </c>
      <c r="B154" t="s">
        <v>743</v>
      </c>
      <c r="C154" t="s">
        <v>744</v>
      </c>
      <c r="D154" t="s">
        <v>287</v>
      </c>
      <c r="E154">
        <v>5</v>
      </c>
      <c r="F154" t="s">
        <v>283</v>
      </c>
      <c r="G154" s="1">
        <v>45690</v>
      </c>
      <c r="H154" t="s">
        <v>1051</v>
      </c>
      <c r="I154">
        <v>22864</v>
      </c>
      <c r="J154" t="s">
        <v>1045</v>
      </c>
      <c r="K154" t="s">
        <v>1043</v>
      </c>
      <c r="L154" t="str">
        <f>TEXT(Tenants[Payment_Date],"mmm")</f>
        <v>Feb</v>
      </c>
    </row>
    <row r="155" spans="1:12" x14ac:dyDescent="0.3">
      <c r="A155" t="s">
        <v>745</v>
      </c>
      <c r="B155" t="s">
        <v>746</v>
      </c>
      <c r="C155" t="s">
        <v>747</v>
      </c>
      <c r="D155" t="s">
        <v>282</v>
      </c>
      <c r="E155">
        <v>3</v>
      </c>
      <c r="F155" t="s">
        <v>292</v>
      </c>
      <c r="G155" s="1">
        <v>45335</v>
      </c>
      <c r="H155" t="s">
        <v>1052</v>
      </c>
      <c r="I155">
        <v>10432</v>
      </c>
      <c r="J155" t="s">
        <v>1049</v>
      </c>
      <c r="K155" t="s">
        <v>1046</v>
      </c>
      <c r="L155" t="str">
        <f>TEXT(Tenants[Payment_Date],"mmm")</f>
        <v>Feb</v>
      </c>
    </row>
    <row r="156" spans="1:12" x14ac:dyDescent="0.3">
      <c r="A156" t="s">
        <v>748</v>
      </c>
      <c r="B156" t="s">
        <v>749</v>
      </c>
      <c r="C156" t="s">
        <v>750</v>
      </c>
      <c r="D156" t="s">
        <v>333</v>
      </c>
      <c r="E156">
        <v>5</v>
      </c>
      <c r="F156" t="s">
        <v>283</v>
      </c>
      <c r="G156" s="1">
        <v>45671</v>
      </c>
      <c r="H156" t="s">
        <v>1061</v>
      </c>
      <c r="I156">
        <v>22432</v>
      </c>
      <c r="J156" t="s">
        <v>1045</v>
      </c>
      <c r="K156" t="s">
        <v>1043</v>
      </c>
      <c r="L156" t="str">
        <f>TEXT(Tenants[Payment_Date],"mmm")</f>
        <v>Jan</v>
      </c>
    </row>
    <row r="157" spans="1:12" x14ac:dyDescent="0.3">
      <c r="A157" t="s">
        <v>751</v>
      </c>
      <c r="B157" t="s">
        <v>752</v>
      </c>
      <c r="C157" t="s">
        <v>753</v>
      </c>
      <c r="D157" t="s">
        <v>282</v>
      </c>
      <c r="E157">
        <v>6</v>
      </c>
      <c r="F157" t="s">
        <v>283</v>
      </c>
      <c r="G157" s="1">
        <v>45634</v>
      </c>
      <c r="H157" t="s">
        <v>1057</v>
      </c>
      <c r="I157">
        <v>14811</v>
      </c>
      <c r="J157" t="s">
        <v>1042</v>
      </c>
      <c r="K157" t="s">
        <v>1043</v>
      </c>
      <c r="L157" t="str">
        <f>TEXT(Tenants[Payment_Date],"mmm")</f>
        <v>Dec</v>
      </c>
    </row>
    <row r="158" spans="1:12" x14ac:dyDescent="0.3">
      <c r="A158" t="s">
        <v>754</v>
      </c>
      <c r="B158" t="s">
        <v>755</v>
      </c>
      <c r="C158" t="s">
        <v>756</v>
      </c>
      <c r="D158" t="s">
        <v>287</v>
      </c>
      <c r="E158">
        <v>3</v>
      </c>
      <c r="F158" t="s">
        <v>292</v>
      </c>
      <c r="G158" s="1">
        <v>45537</v>
      </c>
      <c r="H158" t="s">
        <v>1054</v>
      </c>
      <c r="I158">
        <v>52736</v>
      </c>
      <c r="J158" t="s">
        <v>1049</v>
      </c>
      <c r="K158" t="s">
        <v>1050</v>
      </c>
      <c r="L158" t="str">
        <f>TEXT(Tenants[Payment_Date],"mmm")</f>
        <v>Sep</v>
      </c>
    </row>
    <row r="159" spans="1:12" x14ac:dyDescent="0.3">
      <c r="A159" t="s">
        <v>757</v>
      </c>
      <c r="B159" t="s">
        <v>758</v>
      </c>
      <c r="C159" t="s">
        <v>759</v>
      </c>
      <c r="D159" t="s">
        <v>287</v>
      </c>
      <c r="E159">
        <v>5</v>
      </c>
      <c r="F159" t="s">
        <v>283</v>
      </c>
      <c r="G159" s="1">
        <v>45362</v>
      </c>
      <c r="H159" t="s">
        <v>1041</v>
      </c>
      <c r="I159">
        <v>58750</v>
      </c>
      <c r="J159" t="s">
        <v>1049</v>
      </c>
      <c r="K159" t="s">
        <v>1050</v>
      </c>
      <c r="L159" t="str">
        <f>TEXT(Tenants[Payment_Date],"mmm")</f>
        <v>Mar</v>
      </c>
    </row>
    <row r="160" spans="1:12" x14ac:dyDescent="0.3">
      <c r="A160" t="s">
        <v>760</v>
      </c>
      <c r="B160" t="s">
        <v>761</v>
      </c>
      <c r="C160" t="s">
        <v>762</v>
      </c>
      <c r="D160" t="s">
        <v>333</v>
      </c>
      <c r="E160">
        <v>3</v>
      </c>
      <c r="F160" t="s">
        <v>292</v>
      </c>
      <c r="G160" s="1">
        <v>45583</v>
      </c>
      <c r="H160" t="s">
        <v>1055</v>
      </c>
      <c r="I160">
        <v>47531</v>
      </c>
      <c r="J160" t="s">
        <v>1049</v>
      </c>
      <c r="K160" t="s">
        <v>1043</v>
      </c>
      <c r="L160" t="str">
        <f>TEXT(Tenants[Payment_Date],"mmm")</f>
        <v>Oct</v>
      </c>
    </row>
    <row r="161" spans="1:12" x14ac:dyDescent="0.3">
      <c r="A161" t="s">
        <v>763</v>
      </c>
      <c r="B161" t="s">
        <v>764</v>
      </c>
      <c r="C161" t="s">
        <v>765</v>
      </c>
      <c r="D161" t="s">
        <v>333</v>
      </c>
      <c r="E161">
        <v>1</v>
      </c>
      <c r="F161" t="s">
        <v>283</v>
      </c>
      <c r="G161" s="1">
        <v>45399</v>
      </c>
      <c r="H161" t="s">
        <v>1060</v>
      </c>
      <c r="I161">
        <v>32848</v>
      </c>
      <c r="J161" t="s">
        <v>1042</v>
      </c>
      <c r="K161" t="s">
        <v>1046</v>
      </c>
      <c r="L161" t="str">
        <f>TEXT(Tenants[Payment_Date],"mmm")</f>
        <v>Apr</v>
      </c>
    </row>
    <row r="162" spans="1:12" x14ac:dyDescent="0.3">
      <c r="A162" t="s">
        <v>766</v>
      </c>
      <c r="B162" t="s">
        <v>767</v>
      </c>
      <c r="C162" t="s">
        <v>768</v>
      </c>
      <c r="D162" t="s">
        <v>287</v>
      </c>
      <c r="E162">
        <v>5</v>
      </c>
      <c r="F162" t="s">
        <v>292</v>
      </c>
      <c r="G162" s="1">
        <v>45494</v>
      </c>
      <c r="H162" t="s">
        <v>1048</v>
      </c>
      <c r="I162">
        <v>20683</v>
      </c>
      <c r="J162" t="s">
        <v>1042</v>
      </c>
      <c r="K162" t="s">
        <v>1043</v>
      </c>
      <c r="L162" t="str">
        <f>TEXT(Tenants[Payment_Date],"mmm")</f>
        <v>Jul</v>
      </c>
    </row>
    <row r="163" spans="1:12" x14ac:dyDescent="0.3">
      <c r="A163" t="s">
        <v>769</v>
      </c>
      <c r="B163" t="s">
        <v>770</v>
      </c>
      <c r="C163" t="s">
        <v>771</v>
      </c>
      <c r="D163" t="s">
        <v>282</v>
      </c>
      <c r="E163">
        <v>2</v>
      </c>
      <c r="F163" t="s">
        <v>283</v>
      </c>
      <c r="G163" s="1">
        <v>45471</v>
      </c>
      <c r="H163" t="s">
        <v>1056</v>
      </c>
      <c r="I163">
        <v>22613</v>
      </c>
      <c r="J163" t="s">
        <v>1049</v>
      </c>
      <c r="K163" t="s">
        <v>1043</v>
      </c>
      <c r="L163" t="str">
        <f>TEXT(Tenants[Payment_Date],"mmm")</f>
        <v>Jun</v>
      </c>
    </row>
    <row r="164" spans="1:12" x14ac:dyDescent="0.3">
      <c r="A164" t="s">
        <v>772</v>
      </c>
      <c r="B164" t="s">
        <v>773</v>
      </c>
      <c r="C164" t="s">
        <v>774</v>
      </c>
      <c r="D164" t="s">
        <v>291</v>
      </c>
      <c r="E164">
        <v>6</v>
      </c>
      <c r="F164" t="s">
        <v>292</v>
      </c>
      <c r="G164" s="1">
        <v>45711</v>
      </c>
      <c r="H164" t="s">
        <v>1051</v>
      </c>
      <c r="I164">
        <v>56824</v>
      </c>
      <c r="J164" t="s">
        <v>1045</v>
      </c>
      <c r="K164" t="s">
        <v>1046</v>
      </c>
      <c r="L164" t="str">
        <f>TEXT(Tenants[Payment_Date],"mmm")</f>
        <v>Feb</v>
      </c>
    </row>
    <row r="165" spans="1:12" x14ac:dyDescent="0.3">
      <c r="A165" t="s">
        <v>775</v>
      </c>
      <c r="B165" t="s">
        <v>776</v>
      </c>
      <c r="C165" t="s">
        <v>777</v>
      </c>
      <c r="D165" t="s">
        <v>282</v>
      </c>
      <c r="E165">
        <v>5</v>
      </c>
      <c r="F165" t="s">
        <v>283</v>
      </c>
      <c r="G165" s="1">
        <v>45579</v>
      </c>
      <c r="H165" t="s">
        <v>1055</v>
      </c>
      <c r="I165">
        <v>32420</v>
      </c>
      <c r="J165" t="s">
        <v>1049</v>
      </c>
      <c r="K165" t="s">
        <v>1043</v>
      </c>
      <c r="L165" t="str">
        <f>TEXT(Tenants[Payment_Date],"mmm")</f>
        <v>Oct</v>
      </c>
    </row>
    <row r="166" spans="1:12" x14ac:dyDescent="0.3">
      <c r="A166" t="s">
        <v>778</v>
      </c>
      <c r="B166" t="s">
        <v>779</v>
      </c>
      <c r="C166" t="s">
        <v>780</v>
      </c>
      <c r="D166" t="s">
        <v>287</v>
      </c>
      <c r="E166">
        <v>5</v>
      </c>
      <c r="F166" t="s">
        <v>292</v>
      </c>
      <c r="G166" s="1">
        <v>45387</v>
      </c>
      <c r="H166" t="s">
        <v>1060</v>
      </c>
      <c r="I166">
        <v>24371</v>
      </c>
      <c r="J166" t="s">
        <v>1049</v>
      </c>
      <c r="K166" t="s">
        <v>1050</v>
      </c>
      <c r="L166" t="str">
        <f>TEXT(Tenants[Payment_Date],"mmm")</f>
        <v>Apr</v>
      </c>
    </row>
    <row r="167" spans="1:12" x14ac:dyDescent="0.3">
      <c r="A167" t="s">
        <v>781</v>
      </c>
      <c r="B167" t="s">
        <v>782</v>
      </c>
      <c r="C167" t="s">
        <v>783</v>
      </c>
      <c r="D167" t="s">
        <v>333</v>
      </c>
      <c r="E167">
        <v>3</v>
      </c>
      <c r="F167" t="s">
        <v>283</v>
      </c>
      <c r="G167" s="1">
        <v>45344</v>
      </c>
      <c r="H167" t="s">
        <v>1052</v>
      </c>
      <c r="I167">
        <v>44664</v>
      </c>
      <c r="J167" t="s">
        <v>1042</v>
      </c>
      <c r="K167" t="s">
        <v>1050</v>
      </c>
      <c r="L167" t="str">
        <f>TEXT(Tenants[Payment_Date],"mmm")</f>
        <v>Feb</v>
      </c>
    </row>
    <row r="168" spans="1:12" x14ac:dyDescent="0.3">
      <c r="A168" t="s">
        <v>784</v>
      </c>
      <c r="B168" t="s">
        <v>785</v>
      </c>
      <c r="C168" t="s">
        <v>786</v>
      </c>
      <c r="D168" t="s">
        <v>291</v>
      </c>
      <c r="E168">
        <v>3</v>
      </c>
      <c r="F168" t="s">
        <v>283</v>
      </c>
      <c r="G168" s="1">
        <v>45510</v>
      </c>
      <c r="H168" t="s">
        <v>1044</v>
      </c>
      <c r="I168">
        <v>39509</v>
      </c>
      <c r="J168" t="s">
        <v>1049</v>
      </c>
      <c r="K168" t="s">
        <v>1046</v>
      </c>
      <c r="L168" t="str">
        <f>TEXT(Tenants[Payment_Date],"mmm")</f>
        <v>Aug</v>
      </c>
    </row>
    <row r="169" spans="1:12" x14ac:dyDescent="0.3">
      <c r="A169" t="s">
        <v>787</v>
      </c>
      <c r="B169" t="s">
        <v>788</v>
      </c>
      <c r="C169" t="s">
        <v>789</v>
      </c>
      <c r="D169" t="s">
        <v>305</v>
      </c>
      <c r="E169">
        <v>6</v>
      </c>
      <c r="F169" t="s">
        <v>292</v>
      </c>
      <c r="G169" s="1">
        <v>45295</v>
      </c>
      <c r="H169" t="s">
        <v>1053</v>
      </c>
      <c r="I169">
        <v>55714</v>
      </c>
      <c r="J169" t="s">
        <v>1049</v>
      </c>
      <c r="K169" t="s">
        <v>1050</v>
      </c>
      <c r="L169" t="str">
        <f>TEXT(Tenants[Payment_Date],"mmm")</f>
        <v>Jan</v>
      </c>
    </row>
    <row r="170" spans="1:12" x14ac:dyDescent="0.3">
      <c r="A170" t="s">
        <v>790</v>
      </c>
      <c r="B170" t="s">
        <v>791</v>
      </c>
      <c r="C170" t="s">
        <v>792</v>
      </c>
      <c r="D170" t="s">
        <v>282</v>
      </c>
      <c r="E170">
        <v>3</v>
      </c>
      <c r="F170" t="s">
        <v>283</v>
      </c>
      <c r="G170" s="1">
        <v>45618</v>
      </c>
      <c r="H170" t="s">
        <v>1047</v>
      </c>
      <c r="I170">
        <v>25906</v>
      </c>
      <c r="J170" t="s">
        <v>1049</v>
      </c>
      <c r="K170" t="s">
        <v>1043</v>
      </c>
      <c r="L170" t="str">
        <f>TEXT(Tenants[Payment_Date],"mmm")</f>
        <v>Nov</v>
      </c>
    </row>
    <row r="171" spans="1:12" x14ac:dyDescent="0.3">
      <c r="A171" t="s">
        <v>793</v>
      </c>
      <c r="B171" t="s">
        <v>794</v>
      </c>
      <c r="C171" t="s">
        <v>795</v>
      </c>
      <c r="D171" t="s">
        <v>291</v>
      </c>
      <c r="E171">
        <v>4</v>
      </c>
      <c r="F171" t="s">
        <v>283</v>
      </c>
      <c r="G171" s="1">
        <v>45700</v>
      </c>
      <c r="H171" t="s">
        <v>1051</v>
      </c>
      <c r="I171">
        <v>12981</v>
      </c>
      <c r="J171" t="s">
        <v>1042</v>
      </c>
      <c r="K171" t="s">
        <v>1046</v>
      </c>
      <c r="L171" t="str">
        <f>TEXT(Tenants[Payment_Date],"mmm")</f>
        <v>Feb</v>
      </c>
    </row>
    <row r="172" spans="1:12" x14ac:dyDescent="0.3">
      <c r="A172" t="s">
        <v>796</v>
      </c>
      <c r="B172" t="s">
        <v>797</v>
      </c>
      <c r="C172" t="s">
        <v>798</v>
      </c>
      <c r="D172" t="s">
        <v>305</v>
      </c>
      <c r="E172">
        <v>5</v>
      </c>
      <c r="F172" t="s">
        <v>292</v>
      </c>
      <c r="G172" s="1">
        <v>45346</v>
      </c>
      <c r="H172" t="s">
        <v>1052</v>
      </c>
      <c r="I172">
        <v>19364</v>
      </c>
      <c r="J172" t="s">
        <v>1045</v>
      </c>
      <c r="K172" t="s">
        <v>1043</v>
      </c>
      <c r="L172" t="str">
        <f>TEXT(Tenants[Payment_Date],"mmm")</f>
        <v>Feb</v>
      </c>
    </row>
    <row r="173" spans="1:12" x14ac:dyDescent="0.3">
      <c r="A173" t="s">
        <v>799</v>
      </c>
      <c r="B173" t="s">
        <v>800</v>
      </c>
      <c r="C173" t="s">
        <v>801</v>
      </c>
      <c r="D173" t="s">
        <v>305</v>
      </c>
      <c r="E173">
        <v>2</v>
      </c>
      <c r="F173" t="s">
        <v>292</v>
      </c>
      <c r="G173" s="1">
        <v>45341</v>
      </c>
      <c r="H173" t="s">
        <v>1052</v>
      </c>
      <c r="I173">
        <v>17092</v>
      </c>
      <c r="J173" t="s">
        <v>1042</v>
      </c>
      <c r="K173" t="s">
        <v>1050</v>
      </c>
      <c r="L173" t="str">
        <f>TEXT(Tenants[Payment_Date],"mmm")</f>
        <v>Feb</v>
      </c>
    </row>
    <row r="174" spans="1:12" x14ac:dyDescent="0.3">
      <c r="A174" t="s">
        <v>802</v>
      </c>
      <c r="B174" t="s">
        <v>803</v>
      </c>
      <c r="C174" t="s">
        <v>804</v>
      </c>
      <c r="D174" t="s">
        <v>287</v>
      </c>
      <c r="E174">
        <v>6</v>
      </c>
      <c r="F174" t="s">
        <v>292</v>
      </c>
      <c r="G174" s="1">
        <v>45616</v>
      </c>
      <c r="H174" t="s">
        <v>1047</v>
      </c>
      <c r="I174">
        <v>56887</v>
      </c>
      <c r="J174" t="s">
        <v>1042</v>
      </c>
      <c r="K174" t="s">
        <v>1046</v>
      </c>
      <c r="L174" t="str">
        <f>TEXT(Tenants[Payment_Date],"mmm")</f>
        <v>Nov</v>
      </c>
    </row>
    <row r="175" spans="1:12" x14ac:dyDescent="0.3">
      <c r="A175" t="s">
        <v>805</v>
      </c>
      <c r="B175" t="s">
        <v>806</v>
      </c>
      <c r="C175" t="s">
        <v>807</v>
      </c>
      <c r="D175" t="s">
        <v>305</v>
      </c>
      <c r="E175">
        <v>6</v>
      </c>
      <c r="F175" t="s">
        <v>292</v>
      </c>
      <c r="G175" s="1">
        <v>45313</v>
      </c>
      <c r="H175" t="s">
        <v>1053</v>
      </c>
      <c r="I175">
        <v>24936</v>
      </c>
      <c r="J175" t="s">
        <v>1042</v>
      </c>
      <c r="K175" t="s">
        <v>1050</v>
      </c>
      <c r="L175" t="str">
        <f>TEXT(Tenants[Payment_Date],"mmm")</f>
        <v>Jan</v>
      </c>
    </row>
    <row r="176" spans="1:12" x14ac:dyDescent="0.3">
      <c r="A176" t="s">
        <v>808</v>
      </c>
      <c r="B176" t="s">
        <v>809</v>
      </c>
      <c r="C176" t="s">
        <v>810</v>
      </c>
      <c r="D176" t="s">
        <v>282</v>
      </c>
      <c r="E176">
        <v>5</v>
      </c>
      <c r="F176" t="s">
        <v>283</v>
      </c>
      <c r="G176" s="1">
        <v>45341</v>
      </c>
      <c r="H176" t="s">
        <v>1052</v>
      </c>
      <c r="I176">
        <v>49162</v>
      </c>
      <c r="J176" t="s">
        <v>1049</v>
      </c>
      <c r="K176" t="s">
        <v>1046</v>
      </c>
      <c r="L176" t="str">
        <f>TEXT(Tenants[Payment_Date],"mmm")</f>
        <v>Feb</v>
      </c>
    </row>
    <row r="177" spans="1:12" x14ac:dyDescent="0.3">
      <c r="A177" t="s">
        <v>811</v>
      </c>
      <c r="B177" t="s">
        <v>812</v>
      </c>
      <c r="C177" t="s">
        <v>813</v>
      </c>
      <c r="D177" t="s">
        <v>282</v>
      </c>
      <c r="E177">
        <v>5</v>
      </c>
      <c r="F177" t="s">
        <v>292</v>
      </c>
      <c r="G177" s="1">
        <v>45534</v>
      </c>
      <c r="H177" t="s">
        <v>1044</v>
      </c>
      <c r="I177">
        <v>59835</v>
      </c>
      <c r="J177" t="s">
        <v>1045</v>
      </c>
      <c r="K177" t="s">
        <v>1046</v>
      </c>
      <c r="L177" t="str">
        <f>TEXT(Tenants[Payment_Date],"mmm")</f>
        <v>Aug</v>
      </c>
    </row>
    <row r="178" spans="1:12" x14ac:dyDescent="0.3">
      <c r="A178" t="s">
        <v>814</v>
      </c>
      <c r="B178" t="s">
        <v>815</v>
      </c>
      <c r="C178" t="s">
        <v>816</v>
      </c>
      <c r="D178" t="s">
        <v>291</v>
      </c>
      <c r="E178">
        <v>4</v>
      </c>
      <c r="F178" t="s">
        <v>283</v>
      </c>
      <c r="G178" s="1">
        <v>45530</v>
      </c>
      <c r="H178" t="s">
        <v>1044</v>
      </c>
      <c r="I178">
        <v>19885</v>
      </c>
      <c r="J178" t="s">
        <v>1042</v>
      </c>
      <c r="K178" t="s">
        <v>1050</v>
      </c>
      <c r="L178" t="str">
        <f>TEXT(Tenants[Payment_Date],"mmm")</f>
        <v>Aug</v>
      </c>
    </row>
    <row r="179" spans="1:12" x14ac:dyDescent="0.3">
      <c r="A179" t="s">
        <v>817</v>
      </c>
      <c r="B179" t="s">
        <v>818</v>
      </c>
      <c r="C179" t="s">
        <v>819</v>
      </c>
      <c r="D179" t="s">
        <v>333</v>
      </c>
      <c r="E179">
        <v>2</v>
      </c>
      <c r="F179" t="s">
        <v>292</v>
      </c>
      <c r="G179" s="1">
        <v>45488</v>
      </c>
      <c r="H179" t="s">
        <v>1048</v>
      </c>
      <c r="I179">
        <v>10100</v>
      </c>
      <c r="J179" t="s">
        <v>1049</v>
      </c>
      <c r="K179" t="s">
        <v>1050</v>
      </c>
      <c r="L179" t="str">
        <f>TEXT(Tenants[Payment_Date],"mmm")</f>
        <v>Jul</v>
      </c>
    </row>
    <row r="180" spans="1:12" x14ac:dyDescent="0.3">
      <c r="A180" t="s">
        <v>820</v>
      </c>
      <c r="B180" t="s">
        <v>821</v>
      </c>
      <c r="C180" t="s">
        <v>822</v>
      </c>
      <c r="D180" t="s">
        <v>305</v>
      </c>
      <c r="E180">
        <v>1</v>
      </c>
      <c r="F180" t="s">
        <v>292</v>
      </c>
      <c r="G180" s="1">
        <v>45354</v>
      </c>
      <c r="H180" t="s">
        <v>1041</v>
      </c>
      <c r="I180">
        <v>14209</v>
      </c>
      <c r="J180" t="s">
        <v>1045</v>
      </c>
      <c r="K180" t="s">
        <v>1046</v>
      </c>
      <c r="L180" t="str">
        <f>TEXT(Tenants[Payment_Date],"mmm")</f>
        <v>Mar</v>
      </c>
    </row>
    <row r="181" spans="1:12" x14ac:dyDescent="0.3">
      <c r="A181" t="s">
        <v>823</v>
      </c>
      <c r="B181" t="s">
        <v>824</v>
      </c>
      <c r="C181" t="s">
        <v>825</v>
      </c>
      <c r="D181" t="s">
        <v>305</v>
      </c>
      <c r="E181">
        <v>2</v>
      </c>
      <c r="F181" t="s">
        <v>292</v>
      </c>
      <c r="G181" s="1">
        <v>45393</v>
      </c>
      <c r="H181" t="s">
        <v>1060</v>
      </c>
      <c r="I181">
        <v>40078</v>
      </c>
      <c r="J181" t="s">
        <v>1049</v>
      </c>
      <c r="K181" t="s">
        <v>1046</v>
      </c>
      <c r="L181" t="str">
        <f>TEXT(Tenants[Payment_Date],"mmm")</f>
        <v>Apr</v>
      </c>
    </row>
    <row r="182" spans="1:12" x14ac:dyDescent="0.3">
      <c r="A182" t="s">
        <v>826</v>
      </c>
      <c r="B182" t="s">
        <v>827</v>
      </c>
      <c r="C182" t="s">
        <v>828</v>
      </c>
      <c r="D182" t="s">
        <v>287</v>
      </c>
      <c r="E182">
        <v>1</v>
      </c>
      <c r="F182" t="s">
        <v>292</v>
      </c>
      <c r="G182" s="1">
        <v>45403</v>
      </c>
      <c r="H182" t="s">
        <v>1060</v>
      </c>
      <c r="I182">
        <v>44605</v>
      </c>
      <c r="J182" t="s">
        <v>1042</v>
      </c>
      <c r="K182" t="s">
        <v>1050</v>
      </c>
      <c r="L182" t="str">
        <f>TEXT(Tenants[Payment_Date],"mmm")</f>
        <v>Apr</v>
      </c>
    </row>
    <row r="183" spans="1:12" x14ac:dyDescent="0.3">
      <c r="A183" t="s">
        <v>829</v>
      </c>
      <c r="B183" t="s">
        <v>830</v>
      </c>
      <c r="C183" t="s">
        <v>831</v>
      </c>
      <c r="D183" t="s">
        <v>287</v>
      </c>
      <c r="E183">
        <v>6</v>
      </c>
      <c r="F183" t="s">
        <v>283</v>
      </c>
      <c r="G183" s="1">
        <v>45393</v>
      </c>
      <c r="H183" t="s">
        <v>1060</v>
      </c>
      <c r="I183">
        <v>35165</v>
      </c>
      <c r="J183" t="s">
        <v>1042</v>
      </c>
      <c r="K183" t="s">
        <v>1046</v>
      </c>
      <c r="L183" t="str">
        <f>TEXT(Tenants[Payment_Date],"mmm")</f>
        <v>Apr</v>
      </c>
    </row>
    <row r="184" spans="1:12" x14ac:dyDescent="0.3">
      <c r="A184" t="s">
        <v>832</v>
      </c>
      <c r="B184" t="s">
        <v>833</v>
      </c>
      <c r="C184" t="s">
        <v>834</v>
      </c>
      <c r="D184" t="s">
        <v>333</v>
      </c>
      <c r="E184">
        <v>3</v>
      </c>
      <c r="F184" t="s">
        <v>292</v>
      </c>
      <c r="G184" s="1">
        <v>45396</v>
      </c>
      <c r="H184" t="s">
        <v>1060</v>
      </c>
      <c r="I184">
        <v>23929</v>
      </c>
      <c r="J184" t="s">
        <v>1049</v>
      </c>
      <c r="K184" t="s">
        <v>1050</v>
      </c>
      <c r="L184" t="str">
        <f>TEXT(Tenants[Payment_Date],"mmm")</f>
        <v>Apr</v>
      </c>
    </row>
    <row r="185" spans="1:12" x14ac:dyDescent="0.3">
      <c r="A185" t="s">
        <v>835</v>
      </c>
      <c r="B185" t="s">
        <v>836</v>
      </c>
      <c r="C185" t="s">
        <v>837</v>
      </c>
      <c r="D185" t="s">
        <v>287</v>
      </c>
      <c r="E185">
        <v>1</v>
      </c>
      <c r="F185" t="s">
        <v>292</v>
      </c>
      <c r="G185" s="1">
        <v>45691</v>
      </c>
      <c r="H185" t="s">
        <v>1051</v>
      </c>
      <c r="I185">
        <v>58610</v>
      </c>
      <c r="J185" t="s">
        <v>1042</v>
      </c>
      <c r="K185" t="s">
        <v>1043</v>
      </c>
      <c r="L185" t="str">
        <f>TEXT(Tenants[Payment_Date],"mmm")</f>
        <v>Feb</v>
      </c>
    </row>
    <row r="186" spans="1:12" x14ac:dyDescent="0.3">
      <c r="A186" t="s">
        <v>838</v>
      </c>
      <c r="B186" t="s">
        <v>839</v>
      </c>
      <c r="C186" t="s">
        <v>840</v>
      </c>
      <c r="D186" t="s">
        <v>287</v>
      </c>
      <c r="E186">
        <v>6</v>
      </c>
      <c r="F186" t="s">
        <v>283</v>
      </c>
      <c r="G186" s="1">
        <v>45608</v>
      </c>
      <c r="H186" t="s">
        <v>1047</v>
      </c>
      <c r="I186">
        <v>32807</v>
      </c>
      <c r="J186" t="s">
        <v>1049</v>
      </c>
      <c r="K186" t="s">
        <v>1043</v>
      </c>
      <c r="L186" t="str">
        <f>TEXT(Tenants[Payment_Date],"mmm")</f>
        <v>Nov</v>
      </c>
    </row>
    <row r="187" spans="1:12" x14ac:dyDescent="0.3">
      <c r="A187" t="s">
        <v>841</v>
      </c>
      <c r="B187" t="s">
        <v>842</v>
      </c>
      <c r="C187" t="s">
        <v>843</v>
      </c>
      <c r="D187" t="s">
        <v>291</v>
      </c>
      <c r="E187">
        <v>4</v>
      </c>
      <c r="F187" t="s">
        <v>283</v>
      </c>
      <c r="G187" s="1">
        <v>45318</v>
      </c>
      <c r="H187" t="s">
        <v>1053</v>
      </c>
      <c r="I187">
        <v>47456</v>
      </c>
      <c r="J187" t="s">
        <v>1049</v>
      </c>
      <c r="K187" t="s">
        <v>1046</v>
      </c>
      <c r="L187" t="str">
        <f>TEXT(Tenants[Payment_Date],"mmm")</f>
        <v>Jan</v>
      </c>
    </row>
    <row r="188" spans="1:12" x14ac:dyDescent="0.3">
      <c r="A188" t="s">
        <v>844</v>
      </c>
      <c r="B188" t="s">
        <v>845</v>
      </c>
      <c r="C188" t="s">
        <v>846</v>
      </c>
      <c r="D188" t="s">
        <v>333</v>
      </c>
      <c r="E188">
        <v>2</v>
      </c>
      <c r="F188" t="s">
        <v>283</v>
      </c>
      <c r="G188" s="1">
        <v>45650</v>
      </c>
      <c r="H188" t="s">
        <v>1057</v>
      </c>
      <c r="I188">
        <v>16590</v>
      </c>
      <c r="J188" t="s">
        <v>1049</v>
      </c>
      <c r="K188" t="s">
        <v>1043</v>
      </c>
      <c r="L188" t="str">
        <f>TEXT(Tenants[Payment_Date],"mmm")</f>
        <v>Dec</v>
      </c>
    </row>
    <row r="189" spans="1:12" x14ac:dyDescent="0.3">
      <c r="A189" t="s">
        <v>847</v>
      </c>
      <c r="B189" t="s">
        <v>848</v>
      </c>
      <c r="C189" t="s">
        <v>849</v>
      </c>
      <c r="D189" t="s">
        <v>287</v>
      </c>
      <c r="E189">
        <v>6</v>
      </c>
      <c r="F189" t="s">
        <v>283</v>
      </c>
      <c r="G189" s="1">
        <v>45621</v>
      </c>
      <c r="H189" t="s">
        <v>1047</v>
      </c>
      <c r="I189">
        <v>18285</v>
      </c>
      <c r="J189" t="s">
        <v>1049</v>
      </c>
      <c r="K189" t="s">
        <v>1043</v>
      </c>
      <c r="L189" t="str">
        <f>TEXT(Tenants[Payment_Date],"mmm")</f>
        <v>Nov</v>
      </c>
    </row>
    <row r="190" spans="1:12" x14ac:dyDescent="0.3">
      <c r="A190" t="s">
        <v>850</v>
      </c>
      <c r="B190" t="s">
        <v>851</v>
      </c>
      <c r="C190" t="s">
        <v>852</v>
      </c>
      <c r="D190" t="s">
        <v>333</v>
      </c>
      <c r="E190">
        <v>5</v>
      </c>
      <c r="F190" t="s">
        <v>292</v>
      </c>
      <c r="G190" s="1">
        <v>45683</v>
      </c>
      <c r="H190" t="s">
        <v>1061</v>
      </c>
      <c r="I190">
        <v>57716</v>
      </c>
      <c r="J190" t="s">
        <v>1042</v>
      </c>
      <c r="K190" t="s">
        <v>1043</v>
      </c>
      <c r="L190" t="str">
        <f>TEXT(Tenants[Payment_Date],"mmm")</f>
        <v>Jan</v>
      </c>
    </row>
    <row r="191" spans="1:12" x14ac:dyDescent="0.3">
      <c r="A191" t="s">
        <v>853</v>
      </c>
      <c r="B191" t="s">
        <v>854</v>
      </c>
      <c r="C191" t="s">
        <v>855</v>
      </c>
      <c r="D191" t="s">
        <v>305</v>
      </c>
      <c r="E191">
        <v>1</v>
      </c>
      <c r="F191" t="s">
        <v>283</v>
      </c>
      <c r="G191" s="1">
        <v>45601</v>
      </c>
      <c r="H191" t="s">
        <v>1047</v>
      </c>
      <c r="I191">
        <v>49615</v>
      </c>
      <c r="J191" t="s">
        <v>1045</v>
      </c>
      <c r="K191" t="s">
        <v>1046</v>
      </c>
      <c r="L191" t="str">
        <f>TEXT(Tenants[Payment_Date],"mmm")</f>
        <v>Nov</v>
      </c>
    </row>
    <row r="192" spans="1:12" x14ac:dyDescent="0.3">
      <c r="A192" t="s">
        <v>856</v>
      </c>
      <c r="B192" t="s">
        <v>857</v>
      </c>
      <c r="C192" t="s">
        <v>858</v>
      </c>
      <c r="D192" t="s">
        <v>333</v>
      </c>
      <c r="E192">
        <v>1</v>
      </c>
      <c r="F192" t="s">
        <v>283</v>
      </c>
      <c r="G192" s="1">
        <v>45569</v>
      </c>
      <c r="H192" t="s">
        <v>1055</v>
      </c>
      <c r="I192">
        <v>27572</v>
      </c>
      <c r="J192" t="s">
        <v>1049</v>
      </c>
      <c r="K192" t="s">
        <v>1043</v>
      </c>
      <c r="L192" t="str">
        <f>TEXT(Tenants[Payment_Date],"mmm")</f>
        <v>Oct</v>
      </c>
    </row>
    <row r="193" spans="1:12" x14ac:dyDescent="0.3">
      <c r="A193" t="s">
        <v>859</v>
      </c>
      <c r="B193" t="s">
        <v>860</v>
      </c>
      <c r="C193" t="s">
        <v>861</v>
      </c>
      <c r="D193" t="s">
        <v>282</v>
      </c>
      <c r="E193">
        <v>2</v>
      </c>
      <c r="F193" t="s">
        <v>283</v>
      </c>
      <c r="G193" s="1">
        <v>45472</v>
      </c>
      <c r="H193" t="s">
        <v>1056</v>
      </c>
      <c r="I193">
        <v>33331</v>
      </c>
      <c r="J193" t="s">
        <v>1045</v>
      </c>
      <c r="K193" t="s">
        <v>1046</v>
      </c>
      <c r="L193" t="str">
        <f>TEXT(Tenants[Payment_Date],"mmm")</f>
        <v>Jun</v>
      </c>
    </row>
    <row r="194" spans="1:12" x14ac:dyDescent="0.3">
      <c r="A194" t="s">
        <v>862</v>
      </c>
      <c r="B194" t="s">
        <v>863</v>
      </c>
      <c r="C194" t="s">
        <v>864</v>
      </c>
      <c r="D194" t="s">
        <v>282</v>
      </c>
      <c r="E194">
        <v>1</v>
      </c>
      <c r="F194" t="s">
        <v>283</v>
      </c>
      <c r="G194" s="1">
        <v>45418</v>
      </c>
      <c r="H194" t="s">
        <v>1058</v>
      </c>
      <c r="I194">
        <v>24087</v>
      </c>
      <c r="J194" t="s">
        <v>1049</v>
      </c>
      <c r="K194" t="s">
        <v>1043</v>
      </c>
      <c r="L194" t="str">
        <f>TEXT(Tenants[Payment_Date],"mmm")</f>
        <v>May</v>
      </c>
    </row>
    <row r="195" spans="1:12" x14ac:dyDescent="0.3">
      <c r="A195" t="s">
        <v>865</v>
      </c>
      <c r="B195" t="s">
        <v>866</v>
      </c>
      <c r="C195" t="s">
        <v>867</v>
      </c>
      <c r="D195" t="s">
        <v>291</v>
      </c>
      <c r="E195">
        <v>4</v>
      </c>
      <c r="F195" t="s">
        <v>283</v>
      </c>
      <c r="G195" s="1">
        <v>45661</v>
      </c>
      <c r="H195" t="s">
        <v>1061</v>
      </c>
      <c r="I195">
        <v>36163</v>
      </c>
      <c r="J195" t="s">
        <v>1049</v>
      </c>
      <c r="K195" t="s">
        <v>1050</v>
      </c>
      <c r="L195" t="str">
        <f>TEXT(Tenants[Payment_Date],"mmm")</f>
        <v>Jan</v>
      </c>
    </row>
    <row r="196" spans="1:12" x14ac:dyDescent="0.3">
      <c r="A196" t="s">
        <v>868</v>
      </c>
      <c r="B196" t="s">
        <v>869</v>
      </c>
      <c r="C196" t="s">
        <v>870</v>
      </c>
      <c r="D196" t="s">
        <v>291</v>
      </c>
      <c r="E196">
        <v>5</v>
      </c>
      <c r="F196" t="s">
        <v>292</v>
      </c>
      <c r="G196" s="1">
        <v>45601</v>
      </c>
      <c r="H196" t="s">
        <v>1047</v>
      </c>
      <c r="I196">
        <v>58258</v>
      </c>
      <c r="J196" t="s">
        <v>1049</v>
      </c>
      <c r="K196" t="s">
        <v>1050</v>
      </c>
      <c r="L196" t="str">
        <f>TEXT(Tenants[Payment_Date],"mmm")</f>
        <v>Nov</v>
      </c>
    </row>
    <row r="197" spans="1:12" x14ac:dyDescent="0.3">
      <c r="A197" t="s">
        <v>871</v>
      </c>
      <c r="B197" t="s">
        <v>872</v>
      </c>
      <c r="C197" t="s">
        <v>873</v>
      </c>
      <c r="D197" t="s">
        <v>291</v>
      </c>
      <c r="E197">
        <v>3</v>
      </c>
      <c r="F197" t="s">
        <v>283</v>
      </c>
      <c r="G197" s="1">
        <v>45516</v>
      </c>
      <c r="H197" t="s">
        <v>1044</v>
      </c>
      <c r="I197">
        <v>33949</v>
      </c>
      <c r="J197" t="s">
        <v>1045</v>
      </c>
      <c r="K197" t="s">
        <v>1050</v>
      </c>
      <c r="L197" t="str">
        <f>TEXT(Tenants[Payment_Date],"mmm")</f>
        <v>Aug</v>
      </c>
    </row>
    <row r="198" spans="1:12" x14ac:dyDescent="0.3">
      <c r="A198" t="s">
        <v>874</v>
      </c>
      <c r="B198" t="s">
        <v>875</v>
      </c>
      <c r="C198" t="s">
        <v>876</v>
      </c>
      <c r="D198" t="s">
        <v>291</v>
      </c>
      <c r="E198">
        <v>4</v>
      </c>
      <c r="F198" t="s">
        <v>292</v>
      </c>
      <c r="G198" s="1">
        <v>45318</v>
      </c>
      <c r="H198" t="s">
        <v>1053</v>
      </c>
      <c r="I198">
        <v>22190</v>
      </c>
      <c r="J198" t="s">
        <v>1042</v>
      </c>
      <c r="K198" t="s">
        <v>1043</v>
      </c>
      <c r="L198" t="str">
        <f>TEXT(Tenants[Payment_Date],"mmm")</f>
        <v>Jan</v>
      </c>
    </row>
    <row r="199" spans="1:12" x14ac:dyDescent="0.3">
      <c r="A199" t="s">
        <v>877</v>
      </c>
      <c r="B199" t="s">
        <v>878</v>
      </c>
      <c r="C199" t="s">
        <v>879</v>
      </c>
      <c r="D199" t="s">
        <v>291</v>
      </c>
      <c r="E199">
        <v>3</v>
      </c>
      <c r="F199" t="s">
        <v>292</v>
      </c>
      <c r="G199" s="1">
        <v>45689</v>
      </c>
      <c r="H199" t="s">
        <v>1051</v>
      </c>
      <c r="I199">
        <v>26893</v>
      </c>
      <c r="J199" t="s">
        <v>1049</v>
      </c>
      <c r="K199" t="s">
        <v>1043</v>
      </c>
      <c r="L199" t="str">
        <f>TEXT(Tenants[Payment_Date],"mmm")</f>
        <v>Feb</v>
      </c>
    </row>
    <row r="200" spans="1:12" x14ac:dyDescent="0.3">
      <c r="A200" t="s">
        <v>880</v>
      </c>
      <c r="B200" t="s">
        <v>881</v>
      </c>
      <c r="C200" t="s">
        <v>882</v>
      </c>
      <c r="D200" t="s">
        <v>333</v>
      </c>
      <c r="E200">
        <v>1</v>
      </c>
      <c r="F200" t="s">
        <v>283</v>
      </c>
      <c r="G200" s="1">
        <v>45523</v>
      </c>
      <c r="H200" t="s">
        <v>1044</v>
      </c>
      <c r="I200">
        <v>48362</v>
      </c>
      <c r="J200" t="s">
        <v>1042</v>
      </c>
      <c r="K200" t="s">
        <v>1043</v>
      </c>
      <c r="L200" t="str">
        <f>TEXT(Tenants[Payment_Date],"mmm")</f>
        <v>Aug</v>
      </c>
    </row>
    <row r="201" spans="1:12" x14ac:dyDescent="0.3">
      <c r="A201" t="s">
        <v>883</v>
      </c>
      <c r="B201" t="s">
        <v>884</v>
      </c>
      <c r="C201" t="s">
        <v>885</v>
      </c>
      <c r="D201" t="s">
        <v>305</v>
      </c>
      <c r="E201">
        <v>3</v>
      </c>
      <c r="F201" t="s">
        <v>292</v>
      </c>
      <c r="G201" s="1">
        <v>45710</v>
      </c>
      <c r="H201" t="s">
        <v>1051</v>
      </c>
      <c r="I201">
        <v>40818</v>
      </c>
      <c r="J201" t="s">
        <v>1049</v>
      </c>
      <c r="K201" t="s">
        <v>1043</v>
      </c>
      <c r="L201" t="str">
        <f>TEXT(Tenants[Payment_Date],"mmm")</f>
        <v>Feb</v>
      </c>
    </row>
    <row r="202" spans="1:12" x14ac:dyDescent="0.3">
      <c r="A202" t="s">
        <v>886</v>
      </c>
      <c r="B202" t="s">
        <v>887</v>
      </c>
      <c r="C202" t="s">
        <v>888</v>
      </c>
      <c r="D202" t="s">
        <v>291</v>
      </c>
      <c r="E202">
        <v>4</v>
      </c>
      <c r="F202" t="s">
        <v>292</v>
      </c>
      <c r="G202" s="1">
        <v>45642</v>
      </c>
      <c r="H202" t="s">
        <v>1057</v>
      </c>
      <c r="I202">
        <v>25944</v>
      </c>
      <c r="J202" t="s">
        <v>1045</v>
      </c>
      <c r="K202" t="s">
        <v>1043</v>
      </c>
      <c r="L202" t="str">
        <f>TEXT(Tenants[Payment_Date],"mmm")</f>
        <v>Dec</v>
      </c>
    </row>
    <row r="203" spans="1:12" x14ac:dyDescent="0.3">
      <c r="A203" t="s">
        <v>889</v>
      </c>
      <c r="B203" t="s">
        <v>890</v>
      </c>
      <c r="C203" t="s">
        <v>891</v>
      </c>
      <c r="D203" t="s">
        <v>291</v>
      </c>
      <c r="E203">
        <v>6</v>
      </c>
      <c r="F203" t="s">
        <v>292</v>
      </c>
      <c r="G203" s="1">
        <v>45691</v>
      </c>
      <c r="H203" t="s">
        <v>1051</v>
      </c>
      <c r="I203">
        <v>9695</v>
      </c>
      <c r="J203" t="s">
        <v>1049</v>
      </c>
      <c r="K203" t="s">
        <v>1043</v>
      </c>
      <c r="L203" t="str">
        <f>TEXT(Tenants[Payment_Date],"mmm")</f>
        <v>Feb</v>
      </c>
    </row>
    <row r="204" spans="1:12" x14ac:dyDescent="0.3">
      <c r="A204" t="s">
        <v>892</v>
      </c>
      <c r="B204" t="s">
        <v>893</v>
      </c>
      <c r="C204" t="s">
        <v>894</v>
      </c>
      <c r="D204" t="s">
        <v>282</v>
      </c>
      <c r="E204">
        <v>3</v>
      </c>
      <c r="F204" t="s">
        <v>292</v>
      </c>
      <c r="G204" s="1">
        <v>45695</v>
      </c>
      <c r="H204" t="s">
        <v>1051</v>
      </c>
      <c r="I204">
        <v>19000</v>
      </c>
      <c r="J204" t="s">
        <v>1045</v>
      </c>
      <c r="K204" t="s">
        <v>1050</v>
      </c>
      <c r="L204" t="str">
        <f>TEXT(Tenants[Payment_Date],"mmm")</f>
        <v>Feb</v>
      </c>
    </row>
    <row r="205" spans="1:12" x14ac:dyDescent="0.3">
      <c r="A205" t="s">
        <v>895</v>
      </c>
      <c r="B205" t="s">
        <v>896</v>
      </c>
      <c r="C205" t="s">
        <v>897</v>
      </c>
      <c r="D205" t="s">
        <v>305</v>
      </c>
      <c r="E205">
        <v>2</v>
      </c>
      <c r="F205" t="s">
        <v>283</v>
      </c>
      <c r="G205" s="1">
        <v>45709</v>
      </c>
      <c r="H205" t="s">
        <v>1051</v>
      </c>
      <c r="I205">
        <v>28752</v>
      </c>
      <c r="J205" t="s">
        <v>1049</v>
      </c>
      <c r="K205" t="s">
        <v>1043</v>
      </c>
      <c r="L205" t="str">
        <f>TEXT(Tenants[Payment_Date],"mmm")</f>
        <v>Feb</v>
      </c>
    </row>
    <row r="206" spans="1:12" x14ac:dyDescent="0.3">
      <c r="A206" t="s">
        <v>898</v>
      </c>
      <c r="B206" t="s">
        <v>899</v>
      </c>
      <c r="C206" t="s">
        <v>900</v>
      </c>
      <c r="D206" t="s">
        <v>282</v>
      </c>
      <c r="E206">
        <v>4</v>
      </c>
      <c r="F206" t="s">
        <v>283</v>
      </c>
      <c r="G206" s="1">
        <v>45412</v>
      </c>
      <c r="H206" t="s">
        <v>1060</v>
      </c>
      <c r="I206">
        <v>24873</v>
      </c>
      <c r="J206" t="s">
        <v>1045</v>
      </c>
      <c r="K206" t="s">
        <v>1046</v>
      </c>
      <c r="L206" t="str">
        <f>TEXT(Tenants[Payment_Date],"mmm")</f>
        <v>Apr</v>
      </c>
    </row>
    <row r="207" spans="1:12" x14ac:dyDescent="0.3">
      <c r="A207" t="s">
        <v>901</v>
      </c>
      <c r="B207" t="s">
        <v>902</v>
      </c>
      <c r="C207" t="s">
        <v>903</v>
      </c>
      <c r="D207" t="s">
        <v>282</v>
      </c>
      <c r="E207">
        <v>1</v>
      </c>
      <c r="F207" t="s">
        <v>292</v>
      </c>
      <c r="G207" s="1">
        <v>45594</v>
      </c>
      <c r="H207" t="s">
        <v>1055</v>
      </c>
      <c r="I207">
        <v>19456</v>
      </c>
      <c r="J207" t="s">
        <v>1042</v>
      </c>
      <c r="K207" t="s">
        <v>1050</v>
      </c>
      <c r="L207" t="str">
        <f>TEXT(Tenants[Payment_Date],"mmm")</f>
        <v>Oct</v>
      </c>
    </row>
    <row r="208" spans="1:12" x14ac:dyDescent="0.3">
      <c r="A208" t="s">
        <v>904</v>
      </c>
      <c r="B208" t="s">
        <v>905</v>
      </c>
      <c r="C208" t="s">
        <v>906</v>
      </c>
      <c r="D208" t="s">
        <v>305</v>
      </c>
      <c r="E208">
        <v>6</v>
      </c>
      <c r="F208" t="s">
        <v>283</v>
      </c>
      <c r="G208" s="1">
        <v>45498</v>
      </c>
      <c r="H208" t="s">
        <v>1048</v>
      </c>
      <c r="I208">
        <v>23600</v>
      </c>
      <c r="J208" t="s">
        <v>1042</v>
      </c>
      <c r="K208" t="s">
        <v>1050</v>
      </c>
      <c r="L208" t="str">
        <f>TEXT(Tenants[Payment_Date],"mmm")</f>
        <v>Jul</v>
      </c>
    </row>
    <row r="209" spans="1:12" x14ac:dyDescent="0.3">
      <c r="A209" t="s">
        <v>907</v>
      </c>
      <c r="B209" t="s">
        <v>908</v>
      </c>
      <c r="C209" t="s">
        <v>909</v>
      </c>
      <c r="D209" t="s">
        <v>282</v>
      </c>
      <c r="E209">
        <v>6</v>
      </c>
      <c r="F209" t="s">
        <v>292</v>
      </c>
      <c r="G209" s="1">
        <v>45515</v>
      </c>
      <c r="H209" t="s">
        <v>1044</v>
      </c>
      <c r="I209">
        <v>34539</v>
      </c>
      <c r="J209" t="s">
        <v>1049</v>
      </c>
      <c r="K209" t="s">
        <v>1043</v>
      </c>
      <c r="L209" t="str">
        <f>TEXT(Tenants[Payment_Date],"mmm")</f>
        <v>Aug</v>
      </c>
    </row>
    <row r="210" spans="1:12" x14ac:dyDescent="0.3">
      <c r="A210" t="s">
        <v>910</v>
      </c>
      <c r="B210" t="s">
        <v>911</v>
      </c>
      <c r="C210" t="s">
        <v>912</v>
      </c>
      <c r="D210" t="s">
        <v>333</v>
      </c>
      <c r="E210">
        <v>5</v>
      </c>
      <c r="F210" t="s">
        <v>283</v>
      </c>
      <c r="G210" s="1">
        <v>45506</v>
      </c>
      <c r="H210" t="s">
        <v>1044</v>
      </c>
      <c r="I210">
        <v>53525</v>
      </c>
      <c r="J210" t="s">
        <v>1045</v>
      </c>
      <c r="K210" t="s">
        <v>1046</v>
      </c>
      <c r="L210" t="str">
        <f>TEXT(Tenants[Payment_Date],"mmm")</f>
        <v>Aug</v>
      </c>
    </row>
    <row r="211" spans="1:12" x14ac:dyDescent="0.3">
      <c r="A211" t="s">
        <v>913</v>
      </c>
      <c r="B211" t="s">
        <v>914</v>
      </c>
      <c r="C211" t="s">
        <v>915</v>
      </c>
      <c r="D211" t="s">
        <v>282</v>
      </c>
      <c r="E211">
        <v>1</v>
      </c>
      <c r="F211" t="s">
        <v>292</v>
      </c>
      <c r="G211" s="1">
        <v>45311</v>
      </c>
      <c r="H211" t="s">
        <v>1053</v>
      </c>
      <c r="I211">
        <v>27995</v>
      </c>
      <c r="J211" t="s">
        <v>1042</v>
      </c>
      <c r="K211" t="s">
        <v>1046</v>
      </c>
      <c r="L211" t="str">
        <f>TEXT(Tenants[Payment_Date],"mmm")</f>
        <v>Jan</v>
      </c>
    </row>
    <row r="212" spans="1:12" x14ac:dyDescent="0.3">
      <c r="A212" t="s">
        <v>916</v>
      </c>
      <c r="B212" t="s">
        <v>917</v>
      </c>
      <c r="C212" t="s">
        <v>918</v>
      </c>
      <c r="D212" t="s">
        <v>333</v>
      </c>
      <c r="E212">
        <v>1</v>
      </c>
      <c r="F212" t="s">
        <v>283</v>
      </c>
      <c r="G212" s="1">
        <v>45549</v>
      </c>
      <c r="H212" t="s">
        <v>1054</v>
      </c>
      <c r="I212">
        <v>54662</v>
      </c>
      <c r="J212" t="s">
        <v>1042</v>
      </c>
      <c r="K212" t="s">
        <v>1050</v>
      </c>
      <c r="L212" t="str">
        <f>TEXT(Tenants[Payment_Date],"mmm")</f>
        <v>Sep</v>
      </c>
    </row>
    <row r="213" spans="1:12" x14ac:dyDescent="0.3">
      <c r="A213" t="s">
        <v>919</v>
      </c>
      <c r="B213" t="s">
        <v>920</v>
      </c>
      <c r="C213" t="s">
        <v>921</v>
      </c>
      <c r="D213" t="s">
        <v>305</v>
      </c>
      <c r="E213">
        <v>6</v>
      </c>
      <c r="F213" t="s">
        <v>292</v>
      </c>
      <c r="G213" s="1">
        <v>45340</v>
      </c>
      <c r="H213" t="s">
        <v>1052</v>
      </c>
      <c r="I213">
        <v>35133</v>
      </c>
      <c r="J213" t="s">
        <v>1042</v>
      </c>
      <c r="K213" t="s">
        <v>1050</v>
      </c>
      <c r="L213" t="str">
        <f>TEXT(Tenants[Payment_Date],"mmm")</f>
        <v>Feb</v>
      </c>
    </row>
    <row r="214" spans="1:12" x14ac:dyDescent="0.3">
      <c r="A214" t="s">
        <v>922</v>
      </c>
      <c r="B214" t="s">
        <v>923</v>
      </c>
      <c r="C214" t="s">
        <v>924</v>
      </c>
      <c r="D214" t="s">
        <v>333</v>
      </c>
      <c r="E214">
        <v>2</v>
      </c>
      <c r="F214" t="s">
        <v>283</v>
      </c>
      <c r="G214" s="1">
        <v>45493</v>
      </c>
      <c r="H214" t="s">
        <v>1048</v>
      </c>
      <c r="I214">
        <v>17278</v>
      </c>
      <c r="J214" t="s">
        <v>1042</v>
      </c>
      <c r="K214" t="s">
        <v>1046</v>
      </c>
      <c r="L214" t="str">
        <f>TEXT(Tenants[Payment_Date],"mmm")</f>
        <v>Jul</v>
      </c>
    </row>
    <row r="215" spans="1:12" x14ac:dyDescent="0.3">
      <c r="A215" t="s">
        <v>925</v>
      </c>
      <c r="B215" t="s">
        <v>926</v>
      </c>
      <c r="C215" t="s">
        <v>927</v>
      </c>
      <c r="D215" t="s">
        <v>282</v>
      </c>
      <c r="E215">
        <v>3</v>
      </c>
      <c r="F215" t="s">
        <v>292</v>
      </c>
      <c r="G215" s="1">
        <v>45292</v>
      </c>
      <c r="H215" t="s">
        <v>1053</v>
      </c>
      <c r="I215">
        <v>28607</v>
      </c>
      <c r="J215" t="s">
        <v>1045</v>
      </c>
      <c r="K215" t="s">
        <v>1046</v>
      </c>
      <c r="L215" t="str">
        <f>TEXT(Tenants[Payment_Date],"mmm")</f>
        <v>Jan</v>
      </c>
    </row>
    <row r="216" spans="1:12" x14ac:dyDescent="0.3">
      <c r="A216" t="s">
        <v>928</v>
      </c>
      <c r="B216" t="s">
        <v>929</v>
      </c>
      <c r="C216" t="s">
        <v>930</v>
      </c>
      <c r="D216" t="s">
        <v>333</v>
      </c>
      <c r="E216">
        <v>3</v>
      </c>
      <c r="F216" t="s">
        <v>283</v>
      </c>
      <c r="G216" s="1">
        <v>45644</v>
      </c>
      <c r="H216" t="s">
        <v>1057</v>
      </c>
      <c r="I216">
        <v>29997</v>
      </c>
      <c r="J216" t="s">
        <v>1042</v>
      </c>
      <c r="K216" t="s">
        <v>1043</v>
      </c>
      <c r="L216" t="str">
        <f>TEXT(Tenants[Payment_Date],"mmm")</f>
        <v>Dec</v>
      </c>
    </row>
    <row r="217" spans="1:12" x14ac:dyDescent="0.3">
      <c r="A217" t="s">
        <v>931</v>
      </c>
      <c r="B217" t="s">
        <v>932</v>
      </c>
      <c r="C217" t="s">
        <v>933</v>
      </c>
      <c r="D217" t="s">
        <v>282</v>
      </c>
      <c r="E217">
        <v>4</v>
      </c>
      <c r="F217" t="s">
        <v>283</v>
      </c>
      <c r="G217" s="1">
        <v>45537</v>
      </c>
      <c r="H217" t="s">
        <v>1054</v>
      </c>
      <c r="I217">
        <v>25037</v>
      </c>
      <c r="J217" t="s">
        <v>1042</v>
      </c>
      <c r="K217" t="s">
        <v>1050</v>
      </c>
      <c r="L217" t="str">
        <f>TEXT(Tenants[Payment_Date],"mmm")</f>
        <v>Sep</v>
      </c>
    </row>
    <row r="218" spans="1:12" x14ac:dyDescent="0.3">
      <c r="A218" t="s">
        <v>934</v>
      </c>
      <c r="B218" t="s">
        <v>935</v>
      </c>
      <c r="C218" t="s">
        <v>936</v>
      </c>
      <c r="D218" t="s">
        <v>291</v>
      </c>
      <c r="E218">
        <v>6</v>
      </c>
      <c r="F218" t="s">
        <v>292</v>
      </c>
      <c r="G218" s="1">
        <v>45538</v>
      </c>
      <c r="H218" t="s">
        <v>1054</v>
      </c>
      <c r="I218">
        <v>15246</v>
      </c>
      <c r="J218" t="s">
        <v>1049</v>
      </c>
      <c r="K218" t="s">
        <v>1046</v>
      </c>
      <c r="L218" t="str">
        <f>TEXT(Tenants[Payment_Date],"mmm")</f>
        <v>Sep</v>
      </c>
    </row>
    <row r="219" spans="1:12" x14ac:dyDescent="0.3">
      <c r="A219" t="s">
        <v>937</v>
      </c>
      <c r="B219" t="s">
        <v>938</v>
      </c>
      <c r="C219" t="s">
        <v>939</v>
      </c>
      <c r="D219" t="s">
        <v>305</v>
      </c>
      <c r="E219">
        <v>3</v>
      </c>
      <c r="F219" t="s">
        <v>283</v>
      </c>
      <c r="G219" s="1">
        <v>45448</v>
      </c>
      <c r="H219" t="s">
        <v>1056</v>
      </c>
      <c r="I219">
        <v>14104</v>
      </c>
      <c r="J219" t="s">
        <v>1045</v>
      </c>
      <c r="K219" t="s">
        <v>1043</v>
      </c>
      <c r="L219" t="str">
        <f>TEXT(Tenants[Payment_Date],"mmm")</f>
        <v>Jun</v>
      </c>
    </row>
    <row r="220" spans="1:12" x14ac:dyDescent="0.3">
      <c r="A220" t="s">
        <v>940</v>
      </c>
      <c r="B220" t="s">
        <v>941</v>
      </c>
      <c r="C220" t="s">
        <v>942</v>
      </c>
      <c r="D220" t="s">
        <v>305</v>
      </c>
      <c r="E220">
        <v>1</v>
      </c>
      <c r="F220" t="s">
        <v>292</v>
      </c>
      <c r="G220" s="1">
        <v>45562</v>
      </c>
      <c r="H220" t="s">
        <v>1054</v>
      </c>
      <c r="I220">
        <v>59967</v>
      </c>
      <c r="J220" t="s">
        <v>1049</v>
      </c>
      <c r="K220" t="s">
        <v>1050</v>
      </c>
      <c r="L220" t="str">
        <f>TEXT(Tenants[Payment_Date],"mmm")</f>
        <v>Sep</v>
      </c>
    </row>
    <row r="221" spans="1:12" x14ac:dyDescent="0.3">
      <c r="A221" t="s">
        <v>943</v>
      </c>
      <c r="B221" t="s">
        <v>944</v>
      </c>
      <c r="C221" t="s">
        <v>945</v>
      </c>
      <c r="D221" t="s">
        <v>287</v>
      </c>
      <c r="E221">
        <v>1</v>
      </c>
      <c r="F221" t="s">
        <v>283</v>
      </c>
      <c r="G221" s="1">
        <v>45740</v>
      </c>
      <c r="H221" t="s">
        <v>1059</v>
      </c>
      <c r="I221">
        <v>59007</v>
      </c>
      <c r="J221" t="s">
        <v>1049</v>
      </c>
      <c r="K221" t="s">
        <v>1046</v>
      </c>
      <c r="L221" t="str">
        <f>TEXT(Tenants[Payment_Date],"mmm")</f>
        <v>Mar</v>
      </c>
    </row>
    <row r="222" spans="1:12" x14ac:dyDescent="0.3">
      <c r="A222" t="s">
        <v>946</v>
      </c>
      <c r="B222" t="s">
        <v>947</v>
      </c>
      <c r="C222" t="s">
        <v>948</v>
      </c>
      <c r="D222" t="s">
        <v>333</v>
      </c>
      <c r="E222">
        <v>2</v>
      </c>
      <c r="F222" t="s">
        <v>283</v>
      </c>
      <c r="G222" s="1">
        <v>45464</v>
      </c>
      <c r="H222" t="s">
        <v>1056</v>
      </c>
      <c r="I222">
        <v>40887</v>
      </c>
      <c r="J222" t="s">
        <v>1042</v>
      </c>
      <c r="K222" t="s">
        <v>1046</v>
      </c>
      <c r="L222" t="str">
        <f>TEXT(Tenants[Payment_Date],"mmm")</f>
        <v>Jun</v>
      </c>
    </row>
    <row r="223" spans="1:12" x14ac:dyDescent="0.3">
      <c r="A223" t="s">
        <v>949</v>
      </c>
      <c r="B223" t="s">
        <v>950</v>
      </c>
      <c r="C223" t="s">
        <v>951</v>
      </c>
      <c r="D223" t="s">
        <v>305</v>
      </c>
      <c r="E223">
        <v>1</v>
      </c>
      <c r="F223" t="s">
        <v>292</v>
      </c>
      <c r="G223" s="1">
        <v>45661</v>
      </c>
      <c r="H223" t="s">
        <v>1061</v>
      </c>
      <c r="I223">
        <v>30691</v>
      </c>
      <c r="J223" t="s">
        <v>1042</v>
      </c>
      <c r="K223" t="s">
        <v>1043</v>
      </c>
      <c r="L223" t="str">
        <f>TEXT(Tenants[Payment_Date],"mmm")</f>
        <v>Jan</v>
      </c>
    </row>
    <row r="224" spans="1:12" x14ac:dyDescent="0.3">
      <c r="A224" t="s">
        <v>952</v>
      </c>
      <c r="B224" t="s">
        <v>953</v>
      </c>
      <c r="C224" t="s">
        <v>954</v>
      </c>
      <c r="D224" t="s">
        <v>305</v>
      </c>
      <c r="E224">
        <v>6</v>
      </c>
      <c r="F224" t="s">
        <v>292</v>
      </c>
      <c r="G224" s="1">
        <v>45530</v>
      </c>
      <c r="H224" t="s">
        <v>1044</v>
      </c>
      <c r="I224">
        <v>33748</v>
      </c>
      <c r="J224" t="s">
        <v>1045</v>
      </c>
      <c r="K224" t="s">
        <v>1046</v>
      </c>
      <c r="L224" t="str">
        <f>TEXT(Tenants[Payment_Date],"mmm")</f>
        <v>Aug</v>
      </c>
    </row>
    <row r="225" spans="1:12" x14ac:dyDescent="0.3">
      <c r="A225" t="s">
        <v>955</v>
      </c>
      <c r="B225" t="s">
        <v>956</v>
      </c>
      <c r="C225" t="s">
        <v>957</v>
      </c>
      <c r="D225" t="s">
        <v>291</v>
      </c>
      <c r="E225">
        <v>1</v>
      </c>
      <c r="F225" t="s">
        <v>283</v>
      </c>
      <c r="G225" s="1">
        <v>45613</v>
      </c>
      <c r="H225" t="s">
        <v>1047</v>
      </c>
      <c r="I225">
        <v>51563</v>
      </c>
      <c r="J225" t="s">
        <v>1045</v>
      </c>
      <c r="K225" t="s">
        <v>1043</v>
      </c>
      <c r="L225" t="str">
        <f>TEXT(Tenants[Payment_Date],"mmm")</f>
        <v>Nov</v>
      </c>
    </row>
    <row r="226" spans="1:12" x14ac:dyDescent="0.3">
      <c r="A226" t="s">
        <v>958</v>
      </c>
      <c r="B226" t="s">
        <v>959</v>
      </c>
      <c r="C226" t="s">
        <v>960</v>
      </c>
      <c r="D226" t="s">
        <v>333</v>
      </c>
      <c r="E226">
        <v>4</v>
      </c>
      <c r="F226" t="s">
        <v>283</v>
      </c>
      <c r="G226" s="1">
        <v>45398</v>
      </c>
      <c r="H226" t="s">
        <v>1060</v>
      </c>
      <c r="I226">
        <v>55129</v>
      </c>
      <c r="J226" t="s">
        <v>1045</v>
      </c>
      <c r="K226" t="s">
        <v>1043</v>
      </c>
      <c r="L226" t="str">
        <f>TEXT(Tenants[Payment_Date],"mmm")</f>
        <v>Apr</v>
      </c>
    </row>
    <row r="227" spans="1:12" x14ac:dyDescent="0.3">
      <c r="A227" t="s">
        <v>961</v>
      </c>
      <c r="B227" t="s">
        <v>962</v>
      </c>
      <c r="C227" t="s">
        <v>963</v>
      </c>
      <c r="D227" t="s">
        <v>305</v>
      </c>
      <c r="E227">
        <v>2</v>
      </c>
      <c r="F227" t="s">
        <v>283</v>
      </c>
      <c r="G227" s="1">
        <v>45645</v>
      </c>
      <c r="H227" t="s">
        <v>1057</v>
      </c>
      <c r="I227">
        <v>56163</v>
      </c>
      <c r="J227" t="s">
        <v>1042</v>
      </c>
      <c r="K227" t="s">
        <v>1046</v>
      </c>
      <c r="L227" t="str">
        <f>TEXT(Tenants[Payment_Date],"mmm")</f>
        <v>Dec</v>
      </c>
    </row>
    <row r="228" spans="1:12" x14ac:dyDescent="0.3">
      <c r="A228" t="s">
        <v>964</v>
      </c>
      <c r="B228" t="s">
        <v>965</v>
      </c>
      <c r="C228" t="s">
        <v>966</v>
      </c>
      <c r="D228" t="s">
        <v>333</v>
      </c>
      <c r="E228">
        <v>6</v>
      </c>
      <c r="F228" t="s">
        <v>292</v>
      </c>
      <c r="G228" s="1">
        <v>45689</v>
      </c>
      <c r="H228" t="s">
        <v>1051</v>
      </c>
      <c r="I228">
        <v>47494</v>
      </c>
      <c r="J228" t="s">
        <v>1042</v>
      </c>
      <c r="K228" t="s">
        <v>1043</v>
      </c>
      <c r="L228" t="str">
        <f>TEXT(Tenants[Payment_Date],"mmm")</f>
        <v>Feb</v>
      </c>
    </row>
    <row r="229" spans="1:12" x14ac:dyDescent="0.3">
      <c r="A229" t="s">
        <v>967</v>
      </c>
      <c r="B229" t="s">
        <v>968</v>
      </c>
      <c r="C229" t="s">
        <v>969</v>
      </c>
      <c r="D229" t="s">
        <v>291</v>
      </c>
      <c r="E229">
        <v>3</v>
      </c>
      <c r="F229" t="s">
        <v>292</v>
      </c>
      <c r="G229" s="1">
        <v>45653</v>
      </c>
      <c r="H229" t="s">
        <v>1057</v>
      </c>
      <c r="I229">
        <v>12156</v>
      </c>
      <c r="J229" t="s">
        <v>1045</v>
      </c>
      <c r="K229" t="s">
        <v>1050</v>
      </c>
      <c r="L229" t="str">
        <f>TEXT(Tenants[Payment_Date],"mmm")</f>
        <v>Dec</v>
      </c>
    </row>
    <row r="230" spans="1:12" x14ac:dyDescent="0.3">
      <c r="A230" t="s">
        <v>970</v>
      </c>
      <c r="B230" t="s">
        <v>971</v>
      </c>
      <c r="C230" t="s">
        <v>972</v>
      </c>
      <c r="D230" t="s">
        <v>333</v>
      </c>
      <c r="E230">
        <v>2</v>
      </c>
      <c r="F230" t="s">
        <v>283</v>
      </c>
      <c r="G230" s="1">
        <v>45698</v>
      </c>
      <c r="H230" t="s">
        <v>1051</v>
      </c>
      <c r="I230">
        <v>24578</v>
      </c>
      <c r="J230" t="s">
        <v>1049</v>
      </c>
      <c r="K230" t="s">
        <v>1043</v>
      </c>
      <c r="L230" t="str">
        <f>TEXT(Tenants[Payment_Date],"mmm")</f>
        <v>Feb</v>
      </c>
    </row>
    <row r="231" spans="1:12" x14ac:dyDescent="0.3">
      <c r="A231" t="s">
        <v>973</v>
      </c>
      <c r="B231" t="s">
        <v>974</v>
      </c>
      <c r="C231" t="s">
        <v>975</v>
      </c>
      <c r="D231" t="s">
        <v>333</v>
      </c>
      <c r="E231">
        <v>5</v>
      </c>
      <c r="F231" t="s">
        <v>292</v>
      </c>
      <c r="G231" s="1">
        <v>45630</v>
      </c>
      <c r="H231" t="s">
        <v>1057</v>
      </c>
      <c r="I231">
        <v>44389</v>
      </c>
      <c r="J231" t="s">
        <v>1045</v>
      </c>
      <c r="K231" t="s">
        <v>1043</v>
      </c>
      <c r="L231" t="str">
        <f>TEXT(Tenants[Payment_Date],"mmm")</f>
        <v>Dec</v>
      </c>
    </row>
    <row r="232" spans="1:12" x14ac:dyDescent="0.3">
      <c r="A232" t="s">
        <v>976</v>
      </c>
      <c r="B232" t="s">
        <v>977</v>
      </c>
      <c r="C232" t="s">
        <v>978</v>
      </c>
      <c r="D232" t="s">
        <v>305</v>
      </c>
      <c r="E232">
        <v>3</v>
      </c>
      <c r="F232" t="s">
        <v>292</v>
      </c>
      <c r="G232" s="1">
        <v>45351</v>
      </c>
      <c r="H232" t="s">
        <v>1052</v>
      </c>
      <c r="I232">
        <v>31921</v>
      </c>
      <c r="J232" t="s">
        <v>1045</v>
      </c>
      <c r="K232" t="s">
        <v>1046</v>
      </c>
      <c r="L232" t="str">
        <f>TEXT(Tenants[Payment_Date],"mmm")</f>
        <v>Feb</v>
      </c>
    </row>
    <row r="233" spans="1:12" x14ac:dyDescent="0.3">
      <c r="A233" t="s">
        <v>979</v>
      </c>
      <c r="B233" t="s">
        <v>980</v>
      </c>
      <c r="C233" t="s">
        <v>981</v>
      </c>
      <c r="D233" t="s">
        <v>333</v>
      </c>
      <c r="E233">
        <v>1</v>
      </c>
      <c r="F233" t="s">
        <v>283</v>
      </c>
      <c r="G233" s="1">
        <v>45612</v>
      </c>
      <c r="H233" t="s">
        <v>1047</v>
      </c>
      <c r="I233">
        <v>56845</v>
      </c>
      <c r="J233" t="s">
        <v>1049</v>
      </c>
      <c r="K233" t="s">
        <v>1043</v>
      </c>
      <c r="L233" t="str">
        <f>TEXT(Tenants[Payment_Date],"mmm")</f>
        <v>Nov</v>
      </c>
    </row>
    <row r="234" spans="1:12" x14ac:dyDescent="0.3">
      <c r="A234" t="s">
        <v>982</v>
      </c>
      <c r="B234" t="s">
        <v>983</v>
      </c>
      <c r="C234" t="s">
        <v>984</v>
      </c>
      <c r="D234" t="s">
        <v>287</v>
      </c>
      <c r="E234">
        <v>5</v>
      </c>
      <c r="F234" t="s">
        <v>283</v>
      </c>
      <c r="G234" s="1">
        <v>45702</v>
      </c>
      <c r="H234" t="s">
        <v>1051</v>
      </c>
      <c r="I234">
        <v>25208</v>
      </c>
      <c r="J234" t="s">
        <v>1049</v>
      </c>
      <c r="K234" t="s">
        <v>1046</v>
      </c>
      <c r="L234" t="str">
        <f>TEXT(Tenants[Payment_Date],"mmm")</f>
        <v>Feb</v>
      </c>
    </row>
    <row r="235" spans="1:12" x14ac:dyDescent="0.3">
      <c r="A235" t="s">
        <v>985</v>
      </c>
      <c r="B235" t="s">
        <v>986</v>
      </c>
      <c r="C235" t="s">
        <v>987</v>
      </c>
      <c r="D235" t="s">
        <v>291</v>
      </c>
      <c r="E235">
        <v>6</v>
      </c>
      <c r="F235" t="s">
        <v>283</v>
      </c>
      <c r="G235" s="1">
        <v>45600</v>
      </c>
      <c r="H235" t="s">
        <v>1047</v>
      </c>
      <c r="I235">
        <v>23579</v>
      </c>
      <c r="J235" t="s">
        <v>1049</v>
      </c>
      <c r="K235" t="s">
        <v>1046</v>
      </c>
      <c r="L235" t="str">
        <f>TEXT(Tenants[Payment_Date],"mmm")</f>
        <v>Nov</v>
      </c>
    </row>
    <row r="236" spans="1:12" x14ac:dyDescent="0.3">
      <c r="A236" t="s">
        <v>988</v>
      </c>
      <c r="B236" t="s">
        <v>989</v>
      </c>
      <c r="C236" t="s">
        <v>990</v>
      </c>
      <c r="D236" t="s">
        <v>287</v>
      </c>
      <c r="E236">
        <v>5</v>
      </c>
      <c r="F236" t="s">
        <v>283</v>
      </c>
      <c r="G236" s="1">
        <v>45440</v>
      </c>
      <c r="H236" t="s">
        <v>1058</v>
      </c>
      <c r="I236">
        <v>13073</v>
      </c>
      <c r="J236" t="s">
        <v>1042</v>
      </c>
      <c r="K236" t="s">
        <v>1043</v>
      </c>
      <c r="L236" t="str">
        <f>TEXT(Tenants[Payment_Date],"mmm")</f>
        <v>May</v>
      </c>
    </row>
    <row r="237" spans="1:12" x14ac:dyDescent="0.3">
      <c r="A237" t="s">
        <v>991</v>
      </c>
      <c r="B237" t="s">
        <v>992</v>
      </c>
      <c r="C237" t="s">
        <v>993</v>
      </c>
      <c r="D237" t="s">
        <v>282</v>
      </c>
      <c r="E237">
        <v>3</v>
      </c>
      <c r="F237" t="s">
        <v>292</v>
      </c>
      <c r="G237" s="1">
        <v>45572</v>
      </c>
      <c r="H237" t="s">
        <v>1055</v>
      </c>
      <c r="I237">
        <v>33882</v>
      </c>
      <c r="J237" t="s">
        <v>1045</v>
      </c>
      <c r="K237" t="s">
        <v>1046</v>
      </c>
      <c r="L237" t="str">
        <f>TEXT(Tenants[Payment_Date],"mmm")</f>
        <v>Oct</v>
      </c>
    </row>
    <row r="238" spans="1:12" x14ac:dyDescent="0.3">
      <c r="A238" t="s">
        <v>994</v>
      </c>
      <c r="B238" t="s">
        <v>995</v>
      </c>
      <c r="C238" t="s">
        <v>996</v>
      </c>
      <c r="D238" t="s">
        <v>291</v>
      </c>
      <c r="E238">
        <v>1</v>
      </c>
      <c r="F238" t="s">
        <v>283</v>
      </c>
      <c r="G238" s="1">
        <v>45426</v>
      </c>
      <c r="H238" t="s">
        <v>1058</v>
      </c>
      <c r="I238">
        <v>57288</v>
      </c>
      <c r="J238" t="s">
        <v>1045</v>
      </c>
      <c r="K238" t="s">
        <v>1046</v>
      </c>
      <c r="L238" t="str">
        <f>TEXT(Tenants[Payment_Date],"mmm")</f>
        <v>May</v>
      </c>
    </row>
    <row r="239" spans="1:12" x14ac:dyDescent="0.3">
      <c r="A239" t="s">
        <v>997</v>
      </c>
      <c r="B239" t="s">
        <v>998</v>
      </c>
      <c r="C239" t="s">
        <v>999</v>
      </c>
      <c r="D239" t="s">
        <v>333</v>
      </c>
      <c r="E239">
        <v>6</v>
      </c>
      <c r="F239" t="s">
        <v>292</v>
      </c>
      <c r="G239" s="1">
        <v>45384</v>
      </c>
      <c r="H239" t="s">
        <v>1060</v>
      </c>
      <c r="I239">
        <v>9523</v>
      </c>
      <c r="J239" t="s">
        <v>1045</v>
      </c>
      <c r="K239" t="s">
        <v>1050</v>
      </c>
      <c r="L239" t="str">
        <f>TEXT(Tenants[Payment_Date],"mmm")</f>
        <v>Apr</v>
      </c>
    </row>
    <row r="240" spans="1:12" x14ac:dyDescent="0.3">
      <c r="A240" t="s">
        <v>1000</v>
      </c>
      <c r="B240" t="s">
        <v>1001</v>
      </c>
      <c r="C240" t="s">
        <v>1002</v>
      </c>
      <c r="D240" t="s">
        <v>287</v>
      </c>
      <c r="E240">
        <v>6</v>
      </c>
      <c r="F240" t="s">
        <v>292</v>
      </c>
      <c r="G240" s="1">
        <v>45663</v>
      </c>
      <c r="H240" t="s">
        <v>1061</v>
      </c>
      <c r="I240">
        <v>45815</v>
      </c>
      <c r="J240" t="s">
        <v>1042</v>
      </c>
      <c r="K240" t="s">
        <v>1050</v>
      </c>
      <c r="L240" t="str">
        <f>TEXT(Tenants[Payment_Date],"mmm")</f>
        <v>Jan</v>
      </c>
    </row>
    <row r="241" spans="1:12" x14ac:dyDescent="0.3">
      <c r="A241" t="s">
        <v>1003</v>
      </c>
      <c r="B241" t="s">
        <v>1004</v>
      </c>
      <c r="C241" t="s">
        <v>1005</v>
      </c>
      <c r="D241" t="s">
        <v>333</v>
      </c>
      <c r="E241">
        <v>2</v>
      </c>
      <c r="F241" t="s">
        <v>283</v>
      </c>
      <c r="G241" s="1">
        <v>45370</v>
      </c>
      <c r="H241" t="s">
        <v>1041</v>
      </c>
      <c r="I241">
        <v>32768</v>
      </c>
      <c r="J241" t="s">
        <v>1049</v>
      </c>
      <c r="K241" t="s">
        <v>1043</v>
      </c>
      <c r="L241" t="str">
        <f>TEXT(Tenants[Payment_Date],"mmm")</f>
        <v>Mar</v>
      </c>
    </row>
    <row r="242" spans="1:12" x14ac:dyDescent="0.3">
      <c r="A242" t="s">
        <v>1006</v>
      </c>
      <c r="B242" t="s">
        <v>1007</v>
      </c>
      <c r="C242" t="s">
        <v>1008</v>
      </c>
      <c r="D242" t="s">
        <v>305</v>
      </c>
      <c r="E242">
        <v>6</v>
      </c>
      <c r="F242" t="s">
        <v>292</v>
      </c>
      <c r="G242" s="1">
        <v>45435</v>
      </c>
      <c r="H242" t="s">
        <v>1058</v>
      </c>
      <c r="I242">
        <v>27622</v>
      </c>
      <c r="J242" t="s">
        <v>1045</v>
      </c>
      <c r="K242" t="s">
        <v>1046</v>
      </c>
      <c r="L242" t="str">
        <f>TEXT(Tenants[Payment_Date],"mmm")</f>
        <v>May</v>
      </c>
    </row>
    <row r="243" spans="1:12" x14ac:dyDescent="0.3">
      <c r="A243" t="s">
        <v>1009</v>
      </c>
      <c r="B243" t="s">
        <v>1010</v>
      </c>
      <c r="C243" t="s">
        <v>1011</v>
      </c>
      <c r="D243" t="s">
        <v>333</v>
      </c>
      <c r="E243">
        <v>4</v>
      </c>
      <c r="F243" t="s">
        <v>283</v>
      </c>
      <c r="G243" s="1">
        <v>45638</v>
      </c>
      <c r="H243" t="s">
        <v>1057</v>
      </c>
      <c r="I243">
        <v>14307</v>
      </c>
      <c r="J243" t="s">
        <v>1045</v>
      </c>
      <c r="K243" t="s">
        <v>1043</v>
      </c>
      <c r="L243" t="str">
        <f>TEXT(Tenants[Payment_Date],"mmm")</f>
        <v>Dec</v>
      </c>
    </row>
    <row r="244" spans="1:12" x14ac:dyDescent="0.3">
      <c r="A244" t="s">
        <v>1012</v>
      </c>
      <c r="B244" t="s">
        <v>1013</v>
      </c>
      <c r="C244" t="s">
        <v>1014</v>
      </c>
      <c r="D244" t="s">
        <v>282</v>
      </c>
      <c r="E244">
        <v>3</v>
      </c>
      <c r="F244" t="s">
        <v>283</v>
      </c>
      <c r="G244" s="1">
        <v>45731</v>
      </c>
      <c r="H244" t="s">
        <v>1059</v>
      </c>
      <c r="I244">
        <v>43154</v>
      </c>
      <c r="J244" t="s">
        <v>1042</v>
      </c>
      <c r="K244" t="s">
        <v>1046</v>
      </c>
      <c r="L244" t="str">
        <f>TEXT(Tenants[Payment_Date],"mmm")</f>
        <v>Mar</v>
      </c>
    </row>
    <row r="245" spans="1:12" x14ac:dyDescent="0.3">
      <c r="A245" t="s">
        <v>1015</v>
      </c>
      <c r="B245" t="s">
        <v>1016</v>
      </c>
      <c r="C245" t="s">
        <v>1017</v>
      </c>
      <c r="D245" t="s">
        <v>305</v>
      </c>
      <c r="E245">
        <v>3</v>
      </c>
      <c r="F245" t="s">
        <v>283</v>
      </c>
      <c r="G245" s="1">
        <v>45324</v>
      </c>
      <c r="H245" t="s">
        <v>1052</v>
      </c>
      <c r="I245">
        <v>28724</v>
      </c>
      <c r="J245" t="s">
        <v>1049</v>
      </c>
      <c r="K245" t="s">
        <v>1043</v>
      </c>
      <c r="L245" t="str">
        <f>TEXT(Tenants[Payment_Date],"mmm")</f>
        <v>Feb</v>
      </c>
    </row>
    <row r="246" spans="1:12" x14ac:dyDescent="0.3">
      <c r="A246" t="s">
        <v>1018</v>
      </c>
      <c r="B246" t="s">
        <v>1019</v>
      </c>
      <c r="C246" t="s">
        <v>1020</v>
      </c>
      <c r="D246" t="s">
        <v>333</v>
      </c>
      <c r="E246">
        <v>4</v>
      </c>
      <c r="F246" t="s">
        <v>292</v>
      </c>
      <c r="G246" s="1">
        <v>45314</v>
      </c>
      <c r="H246" t="s">
        <v>1053</v>
      </c>
      <c r="I246">
        <v>33171</v>
      </c>
      <c r="J246" t="s">
        <v>1049</v>
      </c>
      <c r="K246" t="s">
        <v>1050</v>
      </c>
      <c r="L246" t="str">
        <f>TEXT(Tenants[Payment_Date],"mmm")</f>
        <v>Jan</v>
      </c>
    </row>
    <row r="247" spans="1:12" x14ac:dyDescent="0.3">
      <c r="A247" t="s">
        <v>1021</v>
      </c>
      <c r="B247" t="s">
        <v>1022</v>
      </c>
      <c r="C247" t="s">
        <v>1023</v>
      </c>
      <c r="D247" t="s">
        <v>333</v>
      </c>
      <c r="E247">
        <v>4</v>
      </c>
      <c r="F247" t="s">
        <v>283</v>
      </c>
      <c r="G247" s="1">
        <v>45403</v>
      </c>
      <c r="H247" t="s">
        <v>1060</v>
      </c>
      <c r="I247">
        <v>34545</v>
      </c>
      <c r="J247" t="s">
        <v>1045</v>
      </c>
      <c r="K247" t="s">
        <v>1046</v>
      </c>
      <c r="L247" t="str">
        <f>TEXT(Tenants[Payment_Date],"mmm")</f>
        <v>Apr</v>
      </c>
    </row>
    <row r="248" spans="1:12" x14ac:dyDescent="0.3">
      <c r="A248" t="s">
        <v>1024</v>
      </c>
      <c r="B248" t="s">
        <v>1025</v>
      </c>
      <c r="C248" t="s">
        <v>1026</v>
      </c>
      <c r="D248" t="s">
        <v>282</v>
      </c>
      <c r="E248">
        <v>3</v>
      </c>
      <c r="F248" t="s">
        <v>292</v>
      </c>
      <c r="G248" s="1">
        <v>45566</v>
      </c>
      <c r="H248" t="s">
        <v>1055</v>
      </c>
      <c r="I248">
        <v>48370</v>
      </c>
      <c r="J248" t="s">
        <v>1042</v>
      </c>
      <c r="K248" t="s">
        <v>1046</v>
      </c>
      <c r="L248" t="str">
        <f>TEXT(Tenants[Payment_Date],"mmm")</f>
        <v>Oct</v>
      </c>
    </row>
    <row r="249" spans="1:12" x14ac:dyDescent="0.3">
      <c r="A249" t="s">
        <v>1027</v>
      </c>
      <c r="B249" t="s">
        <v>1028</v>
      </c>
      <c r="C249" t="s">
        <v>1029</v>
      </c>
      <c r="D249" t="s">
        <v>291</v>
      </c>
      <c r="E249">
        <v>2</v>
      </c>
      <c r="F249" t="s">
        <v>292</v>
      </c>
      <c r="G249" s="1">
        <v>45613</v>
      </c>
      <c r="H249" t="s">
        <v>1047</v>
      </c>
      <c r="I249">
        <v>53057</v>
      </c>
      <c r="J249" t="s">
        <v>1045</v>
      </c>
      <c r="K249" t="s">
        <v>1043</v>
      </c>
      <c r="L249" t="str">
        <f>TEXT(Tenants[Payment_Date],"mmm")</f>
        <v>Nov</v>
      </c>
    </row>
    <row r="250" spans="1:12" x14ac:dyDescent="0.3">
      <c r="A250" t="s">
        <v>1030</v>
      </c>
      <c r="B250" t="s">
        <v>1031</v>
      </c>
      <c r="C250" t="s">
        <v>1032</v>
      </c>
      <c r="D250" t="s">
        <v>333</v>
      </c>
      <c r="E250">
        <v>2</v>
      </c>
      <c r="F250" t="s">
        <v>292</v>
      </c>
      <c r="G250" s="1">
        <v>45453</v>
      </c>
      <c r="H250" t="s">
        <v>1056</v>
      </c>
      <c r="I250">
        <v>44743</v>
      </c>
      <c r="J250" t="s">
        <v>1045</v>
      </c>
      <c r="K250" t="s">
        <v>1043</v>
      </c>
      <c r="L250" t="str">
        <f>TEXT(Tenants[Payment_Date],"mmm")</f>
        <v>Jun</v>
      </c>
    </row>
    <row r="251" spans="1:12" x14ac:dyDescent="0.3">
      <c r="A251" t="s">
        <v>1033</v>
      </c>
      <c r="B251" t="s">
        <v>1034</v>
      </c>
      <c r="C251" t="s">
        <v>1035</v>
      </c>
      <c r="D251" t="s">
        <v>287</v>
      </c>
      <c r="E251">
        <v>3</v>
      </c>
      <c r="F251" t="s">
        <v>283</v>
      </c>
      <c r="G251" s="1">
        <v>45446</v>
      </c>
      <c r="H251" t="s">
        <v>1056</v>
      </c>
      <c r="I251">
        <v>20358</v>
      </c>
      <c r="J251" t="s">
        <v>1042</v>
      </c>
      <c r="K251" t="s">
        <v>1043</v>
      </c>
      <c r="L251" t="str">
        <f>TEXT(Tenants[Payment_Date],"mmm")</f>
        <v>Jun</v>
      </c>
    </row>
  </sheetData>
  <pageMargins left="0.75" right="0.75" top="1" bottom="1" header="0.5" footer="0.5"/>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data</vt:lpstr>
      <vt:lpstr>Properties</vt:lpstr>
      <vt:lpstr>Tenants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Aravindhan S</cp:lastModifiedBy>
  <dcterms:created xsi:type="dcterms:W3CDTF">2026-01-29T11:21:29Z</dcterms:created>
  <dcterms:modified xsi:type="dcterms:W3CDTF">2026-02-17T04:25:22Z</dcterms:modified>
</cp:coreProperties>
</file>